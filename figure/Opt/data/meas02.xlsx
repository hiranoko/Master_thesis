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tudy\2018\20181113_inj\make\"/>
    </mc:Choice>
  </mc:AlternateContent>
  <bookViews>
    <workbookView xWindow="0" yWindow="0" windowWidth="14370" windowHeight="123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  <c r="B10" i="1" l="1"/>
  <c r="A12" i="1" s="1"/>
  <c r="A10" i="1"/>
</calcChain>
</file>

<file path=xl/sharedStrings.xml><?xml version="1.0" encoding="utf-8"?>
<sst xmlns="http://schemas.openxmlformats.org/spreadsheetml/2006/main" count="3" uniqueCount="3">
  <si>
    <t xml:space="preserve">Kicker </t>
    <phoneticPr fontId="1"/>
  </si>
  <si>
    <t>Angle</t>
    <phoneticPr fontId="1"/>
  </si>
  <si>
    <t xml:space="preserve">Delay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</si>
</sst>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2"/>
  <sheetViews>
    <sheetView tabSelected="1" workbookViewId="0">
      <selection activeCell="H1" sqref="H1"/>
    </sheetView>
  </sheetViews>
  <sheetFormatPr defaultRowHeight="13.5" x14ac:dyDescent="0.15"/>
  <sheetData>
    <row r="3" spans="1:10" x14ac:dyDescent="0.15">
      <c r="A3" s="1" t="s">
        <v>0</v>
      </c>
      <c r="B3" s="2"/>
    </row>
    <row r="4" spans="1:10" x14ac:dyDescent="0.15">
      <c r="A4" s="3" t="s">
        <v>1</v>
      </c>
      <c r="B4" s="4" t="s">
        <v>2</v>
      </c>
      <c r="D4">
        <v>1.6856</v>
      </c>
      <c r="E4">
        <v>2.3519999999999999</v>
      </c>
      <c r="F4">
        <v>23296.4481055</v>
      </c>
      <c r="H4">
        <f>-(D4-1.72)*1000</f>
        <v>34.399999999999984</v>
      </c>
      <c r="I4">
        <f>-(E4-2.4)*1000</f>
        <v>48.000000000000043</v>
      </c>
      <c r="J4">
        <f>(F4-$A$10)/$A$12</f>
        <v>0.31963507729994584</v>
      </c>
    </row>
    <row r="5" spans="1:10" x14ac:dyDescent="0.15">
      <c r="A5" s="3">
        <v>2.2200000000000002</v>
      </c>
      <c r="B5" s="4">
        <v>1900</v>
      </c>
      <c r="D5">
        <v>1.6856</v>
      </c>
      <c r="E5">
        <v>2.3616000000000001</v>
      </c>
      <c r="F5">
        <v>23359.000407</v>
      </c>
      <c r="H5">
        <f t="shared" ref="H5:H14" si="0">-(D5-1.72)*1000</f>
        <v>34.399999999999984</v>
      </c>
      <c r="I5">
        <f t="shared" ref="I5:I14" si="1">-(E5-2.4)*1000</f>
        <v>38.399999999999764</v>
      </c>
      <c r="J5">
        <f t="shared" ref="J5:J14" si="2">(F5-$A$10)/$A$12</f>
        <v>0.35143024628053288</v>
      </c>
    </row>
    <row r="6" spans="1:10" x14ac:dyDescent="0.15">
      <c r="A6" s="3">
        <v>0</v>
      </c>
      <c r="B6" s="4">
        <v>1800</v>
      </c>
      <c r="D6">
        <v>1.6856</v>
      </c>
      <c r="E6">
        <v>2.3712</v>
      </c>
      <c r="F6">
        <v>23438.302973599999</v>
      </c>
      <c r="H6">
        <f t="shared" si="0"/>
        <v>34.399999999999984</v>
      </c>
      <c r="I6">
        <f t="shared" si="1"/>
        <v>28.799999999999937</v>
      </c>
      <c r="J6">
        <f t="shared" si="2"/>
        <v>0.39173953059425631</v>
      </c>
    </row>
    <row r="7" spans="1:10" x14ac:dyDescent="0.15">
      <c r="A7" s="3">
        <v>1.51</v>
      </c>
      <c r="B7" s="4">
        <v>1720</v>
      </c>
      <c r="D7">
        <v>1.6856</v>
      </c>
      <c r="E7">
        <v>2.3807999999999998</v>
      </c>
      <c r="F7">
        <v>23546.640914899999</v>
      </c>
      <c r="H7">
        <f t="shared" si="0"/>
        <v>34.399999999999984</v>
      </c>
      <c r="I7">
        <f t="shared" si="1"/>
        <v>19.200000000000106</v>
      </c>
      <c r="J7">
        <f t="shared" si="2"/>
        <v>0.44680741887399356</v>
      </c>
    </row>
    <row r="8" spans="1:10" x14ac:dyDescent="0.15">
      <c r="A8" s="5">
        <v>3.57</v>
      </c>
      <c r="B8" s="6">
        <v>2400</v>
      </c>
      <c r="D8">
        <v>1.6856</v>
      </c>
      <c r="E8">
        <v>2.3904000000000001</v>
      </c>
      <c r="F8">
        <v>23655.100454700001</v>
      </c>
      <c r="H8">
        <f t="shared" si="0"/>
        <v>34.399999999999984</v>
      </c>
      <c r="I8">
        <f t="shared" si="1"/>
        <v>9.5999999999998309</v>
      </c>
      <c r="J8">
        <f t="shared" si="2"/>
        <v>0.50193711534883512</v>
      </c>
    </row>
    <row r="9" spans="1:10" x14ac:dyDescent="0.15">
      <c r="D9">
        <v>1.6856</v>
      </c>
      <c r="E9">
        <v>2.4</v>
      </c>
      <c r="F9">
        <v>23793.429405899999</v>
      </c>
      <c r="H9">
        <f t="shared" si="0"/>
        <v>34.399999999999984</v>
      </c>
      <c r="I9">
        <f t="shared" si="1"/>
        <v>0</v>
      </c>
      <c r="J9">
        <f t="shared" si="2"/>
        <v>0.57224935443265701</v>
      </c>
    </row>
    <row r="10" spans="1:10" x14ac:dyDescent="0.15">
      <c r="A10">
        <f>MIN(F4:F300)</f>
        <v>22667.6132741</v>
      </c>
      <c r="B10">
        <f>MAX(F4:F300)</f>
        <v>24634.9656583</v>
      </c>
      <c r="D10">
        <v>1.6856</v>
      </c>
      <c r="E10">
        <v>2.4096000000000002</v>
      </c>
      <c r="F10">
        <v>24005.703353600002</v>
      </c>
      <c r="H10">
        <f t="shared" si="0"/>
        <v>34.399999999999984</v>
      </c>
      <c r="I10">
        <f t="shared" si="1"/>
        <v>-9.600000000000275</v>
      </c>
      <c r="J10">
        <f t="shared" si="2"/>
        <v>0.68014763915520915</v>
      </c>
    </row>
    <row r="11" spans="1:10" x14ac:dyDescent="0.15">
      <c r="D11">
        <v>1.6856</v>
      </c>
      <c r="E11">
        <v>2.4192</v>
      </c>
      <c r="F11">
        <v>24189.9150634</v>
      </c>
      <c r="H11">
        <f t="shared" si="0"/>
        <v>34.399999999999984</v>
      </c>
      <c r="I11">
        <f t="shared" si="1"/>
        <v>-19.200000000000106</v>
      </c>
      <c r="J11">
        <f t="shared" si="2"/>
        <v>0.77378196276668842</v>
      </c>
    </row>
    <row r="12" spans="1:10" x14ac:dyDescent="0.15">
      <c r="A12">
        <f>B10-A10</f>
        <v>1967.3523841999995</v>
      </c>
      <c r="D12">
        <v>1.6856</v>
      </c>
      <c r="E12">
        <v>2.4287999999999998</v>
      </c>
      <c r="F12">
        <v>24380.473338799999</v>
      </c>
      <c r="H12">
        <f t="shared" si="0"/>
        <v>34.399999999999984</v>
      </c>
      <c r="I12">
        <f t="shared" si="1"/>
        <v>-28.799999999999937</v>
      </c>
      <c r="J12">
        <f t="shared" si="2"/>
        <v>0.8706422288432647</v>
      </c>
    </row>
    <row r="13" spans="1:10" x14ac:dyDescent="0.15">
      <c r="D13">
        <v>1.6856</v>
      </c>
      <c r="E13">
        <v>2.4384000000000001</v>
      </c>
      <c r="F13">
        <v>24634.9656583</v>
      </c>
      <c r="H13">
        <f t="shared" si="0"/>
        <v>34.399999999999984</v>
      </c>
      <c r="I13">
        <f t="shared" si="1"/>
        <v>-38.400000000000212</v>
      </c>
      <c r="J13">
        <f t="shared" si="2"/>
        <v>1</v>
      </c>
    </row>
    <row r="15" spans="1:10" x14ac:dyDescent="0.15">
      <c r="D15">
        <v>1.69248</v>
      </c>
      <c r="E15">
        <v>2.3519999999999999</v>
      </c>
      <c r="F15">
        <v>23378.925879099999</v>
      </c>
      <c r="H15">
        <f t="shared" ref="H15:H78" si="3">-(D15-1.72)*1000</f>
        <v>27.519999999999989</v>
      </c>
      <c r="I15">
        <f t="shared" ref="I15:I78" si="4">-(E15-2.4)*1000</f>
        <v>48.000000000000043</v>
      </c>
      <c r="J15">
        <f t="shared" ref="J15:J78" si="5">(F15-$A$10)/$A$12</f>
        <v>0.36155831091197521</v>
      </c>
    </row>
    <row r="16" spans="1:10" x14ac:dyDescent="0.15">
      <c r="D16">
        <v>1.69248</v>
      </c>
      <c r="E16">
        <v>2.3616000000000001</v>
      </c>
      <c r="F16">
        <v>23245.854462399999</v>
      </c>
      <c r="H16">
        <f t="shared" si="3"/>
        <v>27.519999999999989</v>
      </c>
      <c r="I16">
        <f t="shared" si="4"/>
        <v>38.399999999999764</v>
      </c>
      <c r="J16">
        <f t="shared" si="5"/>
        <v>0.2939184626729357</v>
      </c>
    </row>
    <row r="17" spans="4:10" x14ac:dyDescent="0.15">
      <c r="D17">
        <v>1.69248</v>
      </c>
      <c r="E17">
        <v>2.3712</v>
      </c>
      <c r="F17">
        <v>23358.442805400002</v>
      </c>
      <c r="H17">
        <f t="shared" si="3"/>
        <v>27.519999999999989</v>
      </c>
      <c r="I17">
        <f t="shared" si="4"/>
        <v>28.799999999999937</v>
      </c>
      <c r="J17">
        <f t="shared" si="5"/>
        <v>0.35114681886586341</v>
      </c>
    </row>
    <row r="18" spans="4:10" x14ac:dyDescent="0.15">
      <c r="D18">
        <v>1.69248</v>
      </c>
      <c r="E18">
        <v>2.3807999999999998</v>
      </c>
      <c r="F18">
        <v>23394.0933797</v>
      </c>
      <c r="H18">
        <f t="shared" si="3"/>
        <v>27.519999999999989</v>
      </c>
      <c r="I18">
        <f t="shared" si="4"/>
        <v>19.200000000000106</v>
      </c>
      <c r="J18">
        <f t="shared" si="5"/>
        <v>0.3692679112468274</v>
      </c>
    </row>
    <row r="19" spans="4:10" x14ac:dyDescent="0.15">
      <c r="D19">
        <v>1.69248</v>
      </c>
      <c r="E19">
        <v>2.3904000000000001</v>
      </c>
      <c r="F19">
        <v>23555.3849716</v>
      </c>
      <c r="H19">
        <f t="shared" si="3"/>
        <v>27.519999999999989</v>
      </c>
      <c r="I19">
        <f t="shared" si="4"/>
        <v>9.5999999999998309</v>
      </c>
      <c r="J19">
        <f t="shared" si="5"/>
        <v>0.45125199970771995</v>
      </c>
    </row>
    <row r="20" spans="4:10" x14ac:dyDescent="0.15">
      <c r="D20">
        <v>1.69248</v>
      </c>
      <c r="E20">
        <v>2.4</v>
      </c>
      <c r="F20">
        <v>23706.151660799998</v>
      </c>
      <c r="H20">
        <f t="shared" si="3"/>
        <v>27.519999999999989</v>
      </c>
      <c r="I20">
        <f t="shared" si="4"/>
        <v>0</v>
      </c>
      <c r="J20">
        <f t="shared" si="5"/>
        <v>0.52788630803540948</v>
      </c>
    </row>
    <row r="21" spans="4:10" x14ac:dyDescent="0.15">
      <c r="D21">
        <v>1.69248</v>
      </c>
      <c r="E21">
        <v>2.4096000000000002</v>
      </c>
      <c r="F21">
        <v>23870.180503</v>
      </c>
      <c r="H21">
        <f t="shared" si="3"/>
        <v>27.519999999999989</v>
      </c>
      <c r="I21">
        <f t="shared" si="4"/>
        <v>-9.600000000000275</v>
      </c>
      <c r="J21">
        <f t="shared" si="5"/>
        <v>0.61126173356534153</v>
      </c>
    </row>
    <row r="22" spans="4:10" x14ac:dyDescent="0.15">
      <c r="D22">
        <v>1.69248</v>
      </c>
      <c r="E22">
        <v>2.4192</v>
      </c>
      <c r="F22">
        <v>24081.077530099999</v>
      </c>
      <c r="H22">
        <f t="shared" si="3"/>
        <v>27.519999999999989</v>
      </c>
      <c r="I22">
        <f t="shared" si="4"/>
        <v>-19.200000000000106</v>
      </c>
      <c r="J22">
        <f t="shared" si="5"/>
        <v>0.71846013319813462</v>
      </c>
    </row>
    <row r="23" spans="4:10" x14ac:dyDescent="0.15">
      <c r="D23">
        <v>1.69248</v>
      </c>
      <c r="E23">
        <v>2.4287999999999998</v>
      </c>
      <c r="F23">
        <v>24266.167723899998</v>
      </c>
      <c r="H23">
        <f t="shared" si="3"/>
        <v>27.519999999999989</v>
      </c>
      <c r="I23">
        <f t="shared" si="4"/>
        <v>-28.799999999999937</v>
      </c>
      <c r="J23">
        <f t="shared" si="5"/>
        <v>0.81254098789731122</v>
      </c>
    </row>
    <row r="24" spans="4:10" x14ac:dyDescent="0.15">
      <c r="D24">
        <v>1.69248</v>
      </c>
      <c r="E24">
        <v>2.4384000000000001</v>
      </c>
      <c r="F24">
        <v>24473.217559600002</v>
      </c>
      <c r="H24">
        <f t="shared" si="3"/>
        <v>27.519999999999989</v>
      </c>
      <c r="I24">
        <f t="shared" si="4"/>
        <v>-38.400000000000212</v>
      </c>
      <c r="J24">
        <f t="shared" si="5"/>
        <v>0.91778387034320186</v>
      </c>
    </row>
    <row r="26" spans="4:10" x14ac:dyDescent="0.15">
      <c r="D26">
        <v>1.69936</v>
      </c>
      <c r="E26">
        <v>2.3519999999999999</v>
      </c>
      <c r="F26">
        <v>23242.607466400001</v>
      </c>
      <c r="H26">
        <f t="shared" si="3"/>
        <v>20.639999999999993</v>
      </c>
      <c r="I26">
        <f t="shared" si="4"/>
        <v>48.000000000000043</v>
      </c>
      <c r="J26">
        <f t="shared" si="5"/>
        <v>0.29226802321629591</v>
      </c>
    </row>
    <row r="27" spans="4:10" x14ac:dyDescent="0.15">
      <c r="D27">
        <v>1.69936</v>
      </c>
      <c r="E27">
        <v>2.3616000000000001</v>
      </c>
      <c r="F27">
        <v>23163.433988000001</v>
      </c>
      <c r="H27">
        <f t="shared" si="3"/>
        <v>20.639999999999993</v>
      </c>
      <c r="I27">
        <f t="shared" si="4"/>
        <v>38.399999999999764</v>
      </c>
      <c r="J27">
        <f t="shared" si="5"/>
        <v>0.25202435409232504</v>
      </c>
    </row>
    <row r="28" spans="4:10" x14ac:dyDescent="0.15">
      <c r="D28">
        <v>1.69936</v>
      </c>
      <c r="E28">
        <v>2.3712</v>
      </c>
      <c r="F28">
        <v>23188.804186400001</v>
      </c>
      <c r="H28">
        <f t="shared" si="3"/>
        <v>20.639999999999993</v>
      </c>
      <c r="I28">
        <f t="shared" si="4"/>
        <v>28.799999999999937</v>
      </c>
      <c r="J28">
        <f t="shared" si="5"/>
        <v>0.26491995866410917</v>
      </c>
    </row>
    <row r="29" spans="4:10" x14ac:dyDescent="0.15">
      <c r="D29">
        <v>1.69936</v>
      </c>
      <c r="E29">
        <v>2.3807999999999998</v>
      </c>
      <c r="F29">
        <v>23281.1763211</v>
      </c>
      <c r="H29">
        <f t="shared" si="3"/>
        <v>20.639999999999993</v>
      </c>
      <c r="I29">
        <f t="shared" si="4"/>
        <v>19.200000000000106</v>
      </c>
      <c r="J29">
        <f t="shared" si="5"/>
        <v>0.31187246978608651</v>
      </c>
    </row>
    <row r="30" spans="4:10" x14ac:dyDescent="0.15">
      <c r="D30">
        <v>1.69936</v>
      </c>
      <c r="E30">
        <v>2.3904000000000001</v>
      </c>
      <c r="F30">
        <v>23403.258992700001</v>
      </c>
      <c r="H30">
        <f t="shared" si="3"/>
        <v>20.639999999999993</v>
      </c>
      <c r="I30">
        <f t="shared" si="4"/>
        <v>9.5999999999998309</v>
      </c>
      <c r="J30">
        <f t="shared" si="5"/>
        <v>0.37392676802998986</v>
      </c>
    </row>
    <row r="31" spans="4:10" x14ac:dyDescent="0.15">
      <c r="D31">
        <v>1.69936</v>
      </c>
      <c r="E31">
        <v>2.4</v>
      </c>
      <c r="F31">
        <v>23507.0251302</v>
      </c>
      <c r="H31">
        <f t="shared" si="3"/>
        <v>20.639999999999993</v>
      </c>
      <c r="I31">
        <f t="shared" si="4"/>
        <v>0</v>
      </c>
      <c r="J31">
        <f t="shared" si="5"/>
        <v>0.42667082056137923</v>
      </c>
    </row>
    <row r="32" spans="4:10" x14ac:dyDescent="0.15">
      <c r="D32">
        <v>1.69936</v>
      </c>
      <c r="E32">
        <v>2.4096000000000002</v>
      </c>
      <c r="F32">
        <v>23701.675304600001</v>
      </c>
      <c r="H32">
        <f t="shared" si="3"/>
        <v>20.639999999999993</v>
      </c>
      <c r="I32">
        <f t="shared" si="4"/>
        <v>-9.600000000000275</v>
      </c>
      <c r="J32">
        <f t="shared" si="5"/>
        <v>0.52561098804904249</v>
      </c>
    </row>
    <row r="33" spans="4:10" x14ac:dyDescent="0.15">
      <c r="D33">
        <v>1.69936</v>
      </c>
      <c r="E33">
        <v>2.4192</v>
      </c>
      <c r="F33">
        <v>23858.842124800001</v>
      </c>
      <c r="H33">
        <f t="shared" si="3"/>
        <v>20.639999999999993</v>
      </c>
      <c r="I33">
        <f t="shared" si="4"/>
        <v>-19.200000000000106</v>
      </c>
      <c r="J33">
        <f t="shared" si="5"/>
        <v>0.60549846599260881</v>
      </c>
    </row>
    <row r="34" spans="4:10" x14ac:dyDescent="0.15">
      <c r="D34">
        <v>1.69936</v>
      </c>
      <c r="E34">
        <v>2.4287999999999998</v>
      </c>
      <c r="F34">
        <v>24094.150106900001</v>
      </c>
      <c r="H34">
        <f t="shared" si="3"/>
        <v>20.639999999999993</v>
      </c>
      <c r="I34">
        <f t="shared" si="4"/>
        <v>-28.799999999999937</v>
      </c>
      <c r="J34">
        <f t="shared" si="5"/>
        <v>0.725104889320621</v>
      </c>
    </row>
    <row r="35" spans="4:10" x14ac:dyDescent="0.15">
      <c r="D35">
        <v>1.69936</v>
      </c>
      <c r="E35">
        <v>2.4384000000000001</v>
      </c>
      <c r="F35">
        <v>24302.416992800001</v>
      </c>
      <c r="H35">
        <f t="shared" si="3"/>
        <v>20.639999999999993</v>
      </c>
      <c r="I35">
        <f t="shared" si="4"/>
        <v>-38.400000000000212</v>
      </c>
      <c r="J35">
        <f t="shared" si="5"/>
        <v>0.83096639515588078</v>
      </c>
    </row>
    <row r="37" spans="4:10" x14ac:dyDescent="0.15">
      <c r="D37">
        <v>1.70624</v>
      </c>
      <c r="E37">
        <v>2.3519999999999999</v>
      </c>
      <c r="F37">
        <v>23164.725785999999</v>
      </c>
      <c r="H37">
        <f t="shared" si="3"/>
        <v>13.759999999999994</v>
      </c>
      <c r="I37">
        <f t="shared" si="4"/>
        <v>48.000000000000043</v>
      </c>
      <c r="J37">
        <f t="shared" si="5"/>
        <v>0.25268097159022368</v>
      </c>
    </row>
    <row r="38" spans="4:10" x14ac:dyDescent="0.15">
      <c r="D38">
        <v>1.70624</v>
      </c>
      <c r="E38">
        <v>2.3616000000000001</v>
      </c>
      <c r="F38">
        <v>23058.388796899999</v>
      </c>
      <c r="H38">
        <f t="shared" si="3"/>
        <v>13.759999999999994</v>
      </c>
      <c r="I38">
        <f t="shared" si="4"/>
        <v>38.399999999999764</v>
      </c>
      <c r="J38">
        <f t="shared" si="5"/>
        <v>0.19863016200775996</v>
      </c>
    </row>
    <row r="39" spans="4:10" x14ac:dyDescent="0.15">
      <c r="D39">
        <v>1.70624</v>
      </c>
      <c r="E39">
        <v>2.3712</v>
      </c>
      <c r="F39">
        <v>23089.417848699999</v>
      </c>
      <c r="H39">
        <f t="shared" si="3"/>
        <v>13.759999999999994</v>
      </c>
      <c r="I39">
        <f t="shared" si="4"/>
        <v>28.799999999999937</v>
      </c>
      <c r="J39">
        <f t="shared" si="5"/>
        <v>0.2144021467570085</v>
      </c>
    </row>
    <row r="40" spans="4:10" x14ac:dyDescent="0.15">
      <c r="D40">
        <v>1.70624</v>
      </c>
      <c r="E40">
        <v>2.3807999999999998</v>
      </c>
      <c r="F40">
        <v>23141.672286599998</v>
      </c>
      <c r="H40">
        <f t="shared" si="3"/>
        <v>13.759999999999994</v>
      </c>
      <c r="I40">
        <f t="shared" si="4"/>
        <v>19.200000000000106</v>
      </c>
      <c r="J40">
        <f t="shared" si="5"/>
        <v>0.24096293897687707</v>
      </c>
    </row>
    <row r="41" spans="4:10" x14ac:dyDescent="0.15">
      <c r="D41">
        <v>1.70624</v>
      </c>
      <c r="E41">
        <v>2.3904000000000001</v>
      </c>
      <c r="F41">
        <v>23258.445428200001</v>
      </c>
      <c r="H41">
        <f t="shared" si="3"/>
        <v>13.759999999999994</v>
      </c>
      <c r="I41">
        <f t="shared" si="4"/>
        <v>9.5999999999998309</v>
      </c>
      <c r="J41">
        <f t="shared" si="5"/>
        <v>0.30031841720122515</v>
      </c>
    </row>
    <row r="42" spans="4:10" x14ac:dyDescent="0.15">
      <c r="D42">
        <v>1.70624</v>
      </c>
      <c r="E42">
        <v>2.4</v>
      </c>
      <c r="F42">
        <v>23368.191758199999</v>
      </c>
      <c r="H42">
        <f t="shared" si="3"/>
        <v>13.759999999999994</v>
      </c>
      <c r="I42">
        <f t="shared" si="4"/>
        <v>0</v>
      </c>
      <c r="J42">
        <f t="shared" si="5"/>
        <v>0.35610218572250368</v>
      </c>
    </row>
    <row r="43" spans="4:10" x14ac:dyDescent="0.15">
      <c r="D43">
        <v>1.70624</v>
      </c>
      <c r="E43">
        <v>2.4096000000000002</v>
      </c>
      <c r="F43">
        <v>23551.918024300001</v>
      </c>
      <c r="H43">
        <f t="shared" si="3"/>
        <v>13.759999999999994</v>
      </c>
      <c r="I43">
        <f t="shared" si="4"/>
        <v>-9.600000000000275</v>
      </c>
      <c r="J43">
        <f t="shared" si="5"/>
        <v>0.44948975958854104</v>
      </c>
    </row>
    <row r="44" spans="4:10" x14ac:dyDescent="0.15">
      <c r="D44">
        <v>1.70624</v>
      </c>
      <c r="E44">
        <v>2.4192</v>
      </c>
      <c r="F44">
        <v>23666.304917500001</v>
      </c>
      <c r="H44">
        <f t="shared" si="3"/>
        <v>13.759999999999994</v>
      </c>
      <c r="I44">
        <f t="shared" si="4"/>
        <v>-19.200000000000106</v>
      </c>
      <c r="J44">
        <f t="shared" si="5"/>
        <v>0.50763231407885656</v>
      </c>
    </row>
    <row r="45" spans="4:10" x14ac:dyDescent="0.15">
      <c r="D45">
        <v>1.70624</v>
      </c>
      <c r="E45">
        <v>2.4287999999999998</v>
      </c>
      <c r="F45">
        <v>23828.071044200002</v>
      </c>
      <c r="H45">
        <f t="shared" si="3"/>
        <v>13.759999999999994</v>
      </c>
      <c r="I45">
        <f t="shared" si="4"/>
        <v>-28.799999999999937</v>
      </c>
      <c r="J45">
        <f t="shared" si="5"/>
        <v>0.58985760732025039</v>
      </c>
    </row>
    <row r="46" spans="4:10" x14ac:dyDescent="0.15">
      <c r="D46">
        <v>1.70624</v>
      </c>
      <c r="E46">
        <v>2.4384000000000001</v>
      </c>
      <c r="F46">
        <v>24062.414222399999</v>
      </c>
      <c r="H46">
        <f t="shared" si="3"/>
        <v>13.759999999999994</v>
      </c>
      <c r="I46">
        <f t="shared" si="4"/>
        <v>-38.400000000000212</v>
      </c>
      <c r="J46">
        <f t="shared" si="5"/>
        <v>0.70897362338429171</v>
      </c>
    </row>
    <row r="48" spans="4:10" x14ac:dyDescent="0.15">
      <c r="D48">
        <v>1.71312</v>
      </c>
      <c r="E48">
        <v>2.3519999999999999</v>
      </c>
      <c r="F48">
        <v>23079.1572509</v>
      </c>
      <c r="H48">
        <f t="shared" si="3"/>
        <v>6.8799999999999972</v>
      </c>
      <c r="I48">
        <f t="shared" si="4"/>
        <v>48.000000000000043</v>
      </c>
      <c r="J48">
        <f t="shared" si="5"/>
        <v>0.20918671210361184</v>
      </c>
    </row>
    <row r="49" spans="4:10" x14ac:dyDescent="0.15">
      <c r="D49">
        <v>1.71312</v>
      </c>
      <c r="E49">
        <v>2.3616000000000001</v>
      </c>
      <c r="F49">
        <v>23003.204527000002</v>
      </c>
      <c r="H49">
        <f t="shared" si="3"/>
        <v>6.8799999999999972</v>
      </c>
      <c r="I49">
        <f t="shared" si="4"/>
        <v>38.399999999999764</v>
      </c>
      <c r="J49">
        <f t="shared" si="5"/>
        <v>0.17058014395141813</v>
      </c>
    </row>
    <row r="50" spans="4:10" x14ac:dyDescent="0.15">
      <c r="D50">
        <v>1.71312</v>
      </c>
      <c r="E50">
        <v>2.3712</v>
      </c>
      <c r="F50">
        <v>23025.809104</v>
      </c>
      <c r="H50">
        <f t="shared" si="3"/>
        <v>6.8799999999999972</v>
      </c>
      <c r="I50">
        <f t="shared" si="4"/>
        <v>28.799999999999937</v>
      </c>
      <c r="J50">
        <f t="shared" si="5"/>
        <v>0.18206999049926478</v>
      </c>
    </row>
    <row r="51" spans="4:10" x14ac:dyDescent="0.15">
      <c r="D51">
        <v>1.71312</v>
      </c>
      <c r="E51">
        <v>2.3807999999999998</v>
      </c>
      <c r="F51">
        <v>23045.978547999999</v>
      </c>
      <c r="H51">
        <f t="shared" si="3"/>
        <v>6.8799999999999972</v>
      </c>
      <c r="I51">
        <f t="shared" si="4"/>
        <v>19.200000000000106</v>
      </c>
      <c r="J51">
        <f t="shared" si="5"/>
        <v>0.19232206540052901</v>
      </c>
    </row>
    <row r="52" spans="4:10" x14ac:dyDescent="0.15">
      <c r="D52">
        <v>1.71312</v>
      </c>
      <c r="E52">
        <v>2.3904000000000001</v>
      </c>
      <c r="F52">
        <v>23136.267369100002</v>
      </c>
      <c r="H52">
        <f t="shared" si="3"/>
        <v>6.8799999999999972</v>
      </c>
      <c r="I52">
        <f t="shared" si="4"/>
        <v>9.5999999999998309</v>
      </c>
      <c r="J52">
        <f t="shared" si="5"/>
        <v>0.23821563374401497</v>
      </c>
    </row>
    <row r="53" spans="4:10" x14ac:dyDescent="0.15">
      <c r="D53">
        <v>1.71312</v>
      </c>
      <c r="E53">
        <v>2.4</v>
      </c>
      <c r="F53">
        <v>23281.0267284</v>
      </c>
      <c r="H53">
        <f t="shared" si="3"/>
        <v>6.8799999999999972</v>
      </c>
      <c r="I53">
        <f t="shared" si="4"/>
        <v>0</v>
      </c>
      <c r="J53">
        <f t="shared" si="5"/>
        <v>0.31179643221335629</v>
      </c>
    </row>
    <row r="54" spans="4:10" x14ac:dyDescent="0.15">
      <c r="D54">
        <v>1.71312</v>
      </c>
      <c r="E54">
        <v>2.4096000000000002</v>
      </c>
      <c r="F54">
        <v>23453.242536099999</v>
      </c>
      <c r="H54">
        <f t="shared" si="3"/>
        <v>6.8799999999999972</v>
      </c>
      <c r="I54">
        <f t="shared" si="4"/>
        <v>-9.600000000000275</v>
      </c>
      <c r="J54">
        <f t="shared" si="5"/>
        <v>0.39933327059730855</v>
      </c>
    </row>
    <row r="55" spans="4:10" x14ac:dyDescent="0.15">
      <c r="D55">
        <v>1.71312</v>
      </c>
      <c r="E55">
        <v>2.4192</v>
      </c>
      <c r="F55">
        <v>23532.148007799999</v>
      </c>
      <c r="H55">
        <f t="shared" si="3"/>
        <v>6.8799999999999972</v>
      </c>
      <c r="I55">
        <f t="shared" si="4"/>
        <v>-19.200000000000106</v>
      </c>
      <c r="J55">
        <f t="shared" si="5"/>
        <v>0.43944071262635098</v>
      </c>
    </row>
    <row r="56" spans="4:10" x14ac:dyDescent="0.15">
      <c r="D56">
        <v>1.71312</v>
      </c>
      <c r="E56">
        <v>2.4287999999999998</v>
      </c>
      <c r="F56">
        <v>23767.128744000001</v>
      </c>
      <c r="H56">
        <f t="shared" si="3"/>
        <v>6.8799999999999972</v>
      </c>
      <c r="I56">
        <f t="shared" si="4"/>
        <v>-28.799999999999937</v>
      </c>
      <c r="J56">
        <f t="shared" si="5"/>
        <v>0.55888079773116306</v>
      </c>
    </row>
    <row r="57" spans="4:10" x14ac:dyDescent="0.15">
      <c r="D57">
        <v>1.71312</v>
      </c>
      <c r="E57">
        <v>2.4384000000000001</v>
      </c>
      <c r="F57">
        <v>23946.158497600001</v>
      </c>
      <c r="H57">
        <f t="shared" si="3"/>
        <v>6.8799999999999972</v>
      </c>
      <c r="I57">
        <f t="shared" si="4"/>
        <v>-38.400000000000212</v>
      </c>
      <c r="J57">
        <f t="shared" si="5"/>
        <v>0.64988114674733599</v>
      </c>
    </row>
    <row r="59" spans="4:10" x14ac:dyDescent="0.15">
      <c r="D59">
        <v>1.72</v>
      </c>
      <c r="E59">
        <v>2.3519999999999999</v>
      </c>
      <c r="F59">
        <v>23006.101895399999</v>
      </c>
      <c r="H59">
        <f t="shared" si="3"/>
        <v>0</v>
      </c>
      <c r="I59">
        <f t="shared" si="4"/>
        <v>48.000000000000043</v>
      </c>
      <c r="J59">
        <f t="shared" si="5"/>
        <v>0.1720528686260959</v>
      </c>
    </row>
    <row r="60" spans="4:10" x14ac:dyDescent="0.15">
      <c r="D60">
        <v>1.72</v>
      </c>
      <c r="E60">
        <v>2.3616000000000001</v>
      </c>
      <c r="F60">
        <v>22886.163481799998</v>
      </c>
      <c r="H60">
        <f t="shared" si="3"/>
        <v>0</v>
      </c>
      <c r="I60">
        <f t="shared" si="4"/>
        <v>38.399999999999764</v>
      </c>
      <c r="J60">
        <f t="shared" si="5"/>
        <v>0.11108849103759778</v>
      </c>
    </row>
    <row r="61" spans="4:10" x14ac:dyDescent="0.15">
      <c r="D61">
        <v>1.72</v>
      </c>
      <c r="E61">
        <v>2.3712</v>
      </c>
      <c r="F61">
        <v>22905.900957400001</v>
      </c>
      <c r="H61">
        <f t="shared" si="3"/>
        <v>0</v>
      </c>
      <c r="I61">
        <f t="shared" si="4"/>
        <v>28.799999999999937</v>
      </c>
      <c r="J61">
        <f t="shared" si="5"/>
        <v>0.1211209975466077</v>
      </c>
    </row>
    <row r="62" spans="4:10" x14ac:dyDescent="0.15">
      <c r="D62">
        <v>1.72</v>
      </c>
      <c r="E62">
        <v>2.3807999999999998</v>
      </c>
      <c r="F62">
        <v>22999.918662399999</v>
      </c>
      <c r="H62">
        <f t="shared" si="3"/>
        <v>0</v>
      </c>
      <c r="I62">
        <f t="shared" si="4"/>
        <v>19.200000000000106</v>
      </c>
      <c r="J62">
        <f t="shared" si="5"/>
        <v>0.16890994768846526</v>
      </c>
    </row>
    <row r="63" spans="4:10" x14ac:dyDescent="0.15">
      <c r="D63">
        <v>1.72</v>
      </c>
      <c r="E63">
        <v>2.3904000000000001</v>
      </c>
      <c r="F63">
        <v>23042.875409200002</v>
      </c>
      <c r="H63">
        <f t="shared" si="3"/>
        <v>0</v>
      </c>
      <c r="I63">
        <f t="shared" si="4"/>
        <v>9.5999999999998309</v>
      </c>
      <c r="J63">
        <f t="shared" si="5"/>
        <v>0.19074474817717901</v>
      </c>
    </row>
    <row r="64" spans="4:10" x14ac:dyDescent="0.15">
      <c r="D64">
        <v>1.72</v>
      </c>
      <c r="E64">
        <v>2.4</v>
      </c>
      <c r="F64">
        <v>23151.6291212</v>
      </c>
      <c r="H64">
        <f t="shared" si="3"/>
        <v>0</v>
      </c>
      <c r="I64">
        <f t="shared" si="4"/>
        <v>0</v>
      </c>
      <c r="J64">
        <f t="shared" si="5"/>
        <v>0.24602397160121309</v>
      </c>
    </row>
    <row r="65" spans="4:10" x14ac:dyDescent="0.15">
      <c r="D65">
        <v>1.72</v>
      </c>
      <c r="E65">
        <v>2.4096000000000002</v>
      </c>
      <c r="F65">
        <v>23265.4732473</v>
      </c>
      <c r="H65">
        <f t="shared" si="3"/>
        <v>0</v>
      </c>
      <c r="I65">
        <f t="shared" si="4"/>
        <v>-9.600000000000275</v>
      </c>
      <c r="J65">
        <f t="shared" si="5"/>
        <v>0.30389063901387087</v>
      </c>
    </row>
    <row r="66" spans="4:10" x14ac:dyDescent="0.15">
      <c r="D66">
        <v>1.72</v>
      </c>
      <c r="E66">
        <v>2.4192</v>
      </c>
      <c r="F66">
        <v>23371.2576826</v>
      </c>
      <c r="H66">
        <f t="shared" si="3"/>
        <v>0</v>
      </c>
      <c r="I66">
        <f t="shared" si="4"/>
        <v>-19.200000000000106</v>
      </c>
      <c r="J66">
        <f t="shared" si="5"/>
        <v>0.35766058696501846</v>
      </c>
    </row>
    <row r="67" spans="4:10" x14ac:dyDescent="0.15">
      <c r="D67">
        <v>1.72</v>
      </c>
      <c r="E67">
        <v>2.4287999999999998</v>
      </c>
      <c r="F67">
        <v>23538.602897500001</v>
      </c>
      <c r="H67">
        <f t="shared" si="3"/>
        <v>0</v>
      </c>
      <c r="I67">
        <f t="shared" si="4"/>
        <v>-28.799999999999937</v>
      </c>
      <c r="J67">
        <f t="shared" si="5"/>
        <v>0.44272171594423249</v>
      </c>
    </row>
    <row r="68" spans="4:10" x14ac:dyDescent="0.15">
      <c r="D68">
        <v>1.72</v>
      </c>
      <c r="E68">
        <v>2.4384000000000001</v>
      </c>
      <c r="F68">
        <v>23751.1007666</v>
      </c>
      <c r="H68">
        <f t="shared" si="3"/>
        <v>0</v>
      </c>
      <c r="I68">
        <f t="shared" si="4"/>
        <v>-38.400000000000212</v>
      </c>
      <c r="J68">
        <f t="shared" si="5"/>
        <v>0.55073381932062349</v>
      </c>
    </row>
    <row r="70" spans="4:10" x14ac:dyDescent="0.15">
      <c r="D70">
        <v>1.72688</v>
      </c>
      <c r="E70">
        <v>2.3519999999999999</v>
      </c>
      <c r="F70">
        <v>22893.303133099998</v>
      </c>
      <c r="H70">
        <f t="shared" si="3"/>
        <v>-6.8799999999999972</v>
      </c>
      <c r="I70">
        <f t="shared" si="4"/>
        <v>48.000000000000043</v>
      </c>
      <c r="J70">
        <f t="shared" si="5"/>
        <v>0.11471755686095471</v>
      </c>
    </row>
    <row r="71" spans="4:10" x14ac:dyDescent="0.15">
      <c r="D71">
        <v>1.72688</v>
      </c>
      <c r="E71">
        <v>2.3616000000000001</v>
      </c>
      <c r="F71">
        <v>22816.2858782</v>
      </c>
      <c r="H71">
        <f t="shared" si="3"/>
        <v>-6.8799999999999972</v>
      </c>
      <c r="I71">
        <f t="shared" si="4"/>
        <v>38.399999999999764</v>
      </c>
      <c r="J71">
        <f t="shared" si="5"/>
        <v>7.5569890424310601E-2</v>
      </c>
    </row>
    <row r="72" spans="4:10" x14ac:dyDescent="0.15">
      <c r="D72">
        <v>1.72688</v>
      </c>
      <c r="E72">
        <v>2.3712</v>
      </c>
      <c r="F72">
        <v>22851.925631900001</v>
      </c>
      <c r="H72">
        <f t="shared" si="3"/>
        <v>-6.8799999999999972</v>
      </c>
      <c r="I72">
        <f t="shared" si="4"/>
        <v>28.799999999999937</v>
      </c>
      <c r="J72">
        <f t="shared" si="5"/>
        <v>9.3685482722989544E-2</v>
      </c>
    </row>
    <row r="73" spans="4:10" x14ac:dyDescent="0.15">
      <c r="D73">
        <v>1.72688</v>
      </c>
      <c r="E73">
        <v>2.3807999999999998</v>
      </c>
      <c r="F73">
        <v>22902.339318499999</v>
      </c>
      <c r="H73">
        <f t="shared" si="3"/>
        <v>-6.8799999999999972</v>
      </c>
      <c r="I73">
        <f t="shared" si="4"/>
        <v>19.200000000000106</v>
      </c>
      <c r="J73">
        <f t="shared" si="5"/>
        <v>0.11931062593824393</v>
      </c>
    </row>
    <row r="74" spans="4:10" x14ac:dyDescent="0.15">
      <c r="D74">
        <v>1.72688</v>
      </c>
      <c r="E74">
        <v>2.3904000000000001</v>
      </c>
      <c r="F74">
        <v>22984.9285528</v>
      </c>
      <c r="H74">
        <f t="shared" si="3"/>
        <v>-6.8799999999999972</v>
      </c>
      <c r="I74">
        <f t="shared" si="4"/>
        <v>9.5999999999998309</v>
      </c>
      <c r="J74">
        <f t="shared" si="5"/>
        <v>0.16129051472852049</v>
      </c>
    </row>
    <row r="75" spans="4:10" x14ac:dyDescent="0.15">
      <c r="D75">
        <v>1.72688</v>
      </c>
      <c r="E75">
        <v>2.4</v>
      </c>
      <c r="F75">
        <v>23021.175075200001</v>
      </c>
      <c r="H75">
        <f t="shared" si="3"/>
        <v>-6.8799999999999972</v>
      </c>
      <c r="I75">
        <f t="shared" si="4"/>
        <v>0</v>
      </c>
      <c r="J75">
        <f t="shared" si="5"/>
        <v>0.17971452594842194</v>
      </c>
    </row>
    <row r="76" spans="4:10" x14ac:dyDescent="0.15">
      <c r="D76">
        <v>1.72688</v>
      </c>
      <c r="E76">
        <v>2.4096000000000002</v>
      </c>
      <c r="F76">
        <v>23201.221103399999</v>
      </c>
      <c r="H76">
        <f t="shared" si="3"/>
        <v>-6.8799999999999972</v>
      </c>
      <c r="I76">
        <f t="shared" si="4"/>
        <v>-9.600000000000275</v>
      </c>
      <c r="J76">
        <f t="shared" si="5"/>
        <v>0.27123144464888754</v>
      </c>
    </row>
    <row r="77" spans="4:10" x14ac:dyDescent="0.15">
      <c r="D77">
        <v>1.72688</v>
      </c>
      <c r="E77">
        <v>2.4192</v>
      </c>
      <c r="F77">
        <v>23293.921613400002</v>
      </c>
      <c r="H77">
        <f t="shared" si="3"/>
        <v>-6.8799999999999972</v>
      </c>
      <c r="I77">
        <f t="shared" si="4"/>
        <v>-19.200000000000106</v>
      </c>
      <c r="J77">
        <f t="shared" si="5"/>
        <v>0.31835086806509366</v>
      </c>
    </row>
    <row r="78" spans="4:10" x14ac:dyDescent="0.15">
      <c r="D78">
        <v>1.72688</v>
      </c>
      <c r="E78">
        <v>2.4287999999999998</v>
      </c>
      <c r="F78">
        <v>23409.2011103</v>
      </c>
      <c r="H78">
        <f t="shared" si="3"/>
        <v>-6.8799999999999972</v>
      </c>
      <c r="I78">
        <f t="shared" si="4"/>
        <v>-28.799999999999937</v>
      </c>
      <c r="J78">
        <f t="shared" si="5"/>
        <v>0.37694713064917357</v>
      </c>
    </row>
    <row r="79" spans="4:10" x14ac:dyDescent="0.15">
      <c r="D79">
        <v>1.72688</v>
      </c>
      <c r="E79">
        <v>2.4384000000000001</v>
      </c>
      <c r="F79">
        <v>23548.7545962</v>
      </c>
      <c r="H79">
        <f t="shared" ref="H79:H112" si="6">-(D79-1.72)*1000</f>
        <v>-6.8799999999999972</v>
      </c>
      <c r="I79">
        <f t="shared" ref="I79:I112" si="7">-(E79-2.4)*1000</f>
        <v>-38.400000000000212</v>
      </c>
      <c r="J79">
        <f t="shared" ref="J79:J112" si="8">(F79-$A$10)/$A$12</f>
        <v>0.44788179747387041</v>
      </c>
    </row>
    <row r="81" spans="4:10" x14ac:dyDescent="0.15">
      <c r="D81">
        <v>1.73376</v>
      </c>
      <c r="E81">
        <v>2.3519999999999999</v>
      </c>
      <c r="F81">
        <v>22857.8904496</v>
      </c>
      <c r="H81">
        <f t="shared" si="6"/>
        <v>-13.759999999999994</v>
      </c>
      <c r="I81">
        <f t="shared" si="7"/>
        <v>48.000000000000043</v>
      </c>
      <c r="J81">
        <f t="shared" si="8"/>
        <v>9.6717383742807916E-2</v>
      </c>
    </row>
    <row r="82" spans="4:10" x14ac:dyDescent="0.15">
      <c r="D82">
        <v>1.73376</v>
      </c>
      <c r="E82">
        <v>2.3616000000000001</v>
      </c>
      <c r="F82">
        <v>22782.5748786</v>
      </c>
      <c r="H82">
        <f t="shared" si="6"/>
        <v>-13.759999999999994</v>
      </c>
      <c r="I82">
        <f t="shared" si="7"/>
        <v>38.399999999999764</v>
      </c>
      <c r="J82">
        <f t="shared" si="8"/>
        <v>5.8434678720125685E-2</v>
      </c>
    </row>
    <row r="83" spans="4:10" x14ac:dyDescent="0.15">
      <c r="D83">
        <v>1.73376</v>
      </c>
      <c r="E83">
        <v>2.3712</v>
      </c>
      <c r="F83">
        <v>22735.9450622</v>
      </c>
      <c r="H83">
        <f t="shared" si="6"/>
        <v>-13.759999999999994</v>
      </c>
      <c r="I83">
        <f t="shared" si="7"/>
        <v>28.799999999999937</v>
      </c>
      <c r="J83">
        <f t="shared" si="8"/>
        <v>3.4732866693724815E-2</v>
      </c>
    </row>
    <row r="84" spans="4:10" x14ac:dyDescent="0.15">
      <c r="D84">
        <v>1.73376</v>
      </c>
      <c r="E84">
        <v>2.3807999999999998</v>
      </c>
      <c r="F84">
        <v>22832.274045099999</v>
      </c>
      <c r="H84">
        <f t="shared" si="6"/>
        <v>-13.759999999999994</v>
      </c>
      <c r="I84">
        <f t="shared" si="7"/>
        <v>19.200000000000106</v>
      </c>
      <c r="J84">
        <f t="shared" si="8"/>
        <v>8.3696633263265791E-2</v>
      </c>
    </row>
    <row r="85" spans="4:10" x14ac:dyDescent="0.15">
      <c r="D85">
        <v>1.73376</v>
      </c>
      <c r="E85">
        <v>2.3904000000000001</v>
      </c>
      <c r="F85">
        <v>22895.197732100001</v>
      </c>
      <c r="H85">
        <f t="shared" si="6"/>
        <v>-13.759999999999994</v>
      </c>
      <c r="I85">
        <f t="shared" si="7"/>
        <v>9.5999999999998309</v>
      </c>
      <c r="J85">
        <f t="shared" si="8"/>
        <v>0.11568057650868972</v>
      </c>
    </row>
    <row r="86" spans="4:10" x14ac:dyDescent="0.15">
      <c r="D86">
        <v>1.73376</v>
      </c>
      <c r="E86">
        <v>2.4</v>
      </c>
      <c r="F86">
        <v>22938.92599</v>
      </c>
      <c r="H86">
        <f t="shared" si="6"/>
        <v>-13.759999999999994</v>
      </c>
      <c r="I86">
        <f t="shared" si="7"/>
        <v>0</v>
      </c>
      <c r="J86">
        <f t="shared" si="8"/>
        <v>0.13790753404369177</v>
      </c>
    </row>
    <row r="87" spans="4:10" x14ac:dyDescent="0.15">
      <c r="D87">
        <v>1.73376</v>
      </c>
      <c r="E87">
        <v>2.4096000000000002</v>
      </c>
      <c r="F87">
        <v>23030.45248</v>
      </c>
      <c r="H87">
        <f t="shared" si="6"/>
        <v>-13.759999999999994</v>
      </c>
      <c r="I87">
        <f t="shared" si="7"/>
        <v>-9.600000000000275</v>
      </c>
      <c r="J87">
        <f t="shared" si="8"/>
        <v>0.18443020620708173</v>
      </c>
    </row>
    <row r="88" spans="4:10" x14ac:dyDescent="0.15">
      <c r="D88">
        <v>1.73376</v>
      </c>
      <c r="E88">
        <v>2.4192</v>
      </c>
      <c r="F88">
        <v>23206.372447199999</v>
      </c>
      <c r="H88">
        <f t="shared" si="6"/>
        <v>-13.759999999999994</v>
      </c>
      <c r="I88">
        <f t="shared" si="7"/>
        <v>-19.200000000000106</v>
      </c>
      <c r="J88">
        <f t="shared" si="8"/>
        <v>0.27384985904245079</v>
      </c>
    </row>
    <row r="89" spans="4:10" x14ac:dyDescent="0.15">
      <c r="D89">
        <v>1.73376</v>
      </c>
      <c r="E89">
        <v>2.4287999999999998</v>
      </c>
      <c r="F89">
        <v>23342.6812522</v>
      </c>
      <c r="H89">
        <f t="shared" si="6"/>
        <v>-13.759999999999994</v>
      </c>
      <c r="I89">
        <f t="shared" si="7"/>
        <v>-28.799999999999937</v>
      </c>
      <c r="J89">
        <f t="shared" si="8"/>
        <v>0.34313526316969811</v>
      </c>
    </row>
    <row r="90" spans="4:10" x14ac:dyDescent="0.15">
      <c r="D90">
        <v>1.73376</v>
      </c>
      <c r="E90">
        <v>2.4384000000000001</v>
      </c>
      <c r="F90">
        <v>23506.7138983</v>
      </c>
      <c r="H90">
        <f t="shared" si="6"/>
        <v>-13.759999999999994</v>
      </c>
      <c r="I90">
        <f t="shared" si="7"/>
        <v>-38.400000000000212</v>
      </c>
      <c r="J90">
        <f t="shared" si="8"/>
        <v>0.42651262221191277</v>
      </c>
    </row>
    <row r="92" spans="4:10" x14ac:dyDescent="0.15">
      <c r="D92">
        <v>1.74064</v>
      </c>
      <c r="E92">
        <v>2.3519999999999999</v>
      </c>
      <c r="F92">
        <v>22819.861347900001</v>
      </c>
      <c r="H92">
        <f t="shared" si="6"/>
        <v>-20.639999999999993</v>
      </c>
      <c r="I92">
        <f t="shared" si="7"/>
        <v>48.000000000000043</v>
      </c>
      <c r="J92">
        <f t="shared" si="8"/>
        <v>7.7387292191638132E-2</v>
      </c>
    </row>
    <row r="93" spans="4:10" x14ac:dyDescent="0.15">
      <c r="D93">
        <v>1.74064</v>
      </c>
      <c r="E93">
        <v>2.3616000000000001</v>
      </c>
      <c r="F93">
        <v>22694.165515500001</v>
      </c>
      <c r="H93">
        <f t="shared" si="6"/>
        <v>-20.639999999999993</v>
      </c>
      <c r="I93">
        <f t="shared" si="7"/>
        <v>38.399999999999764</v>
      </c>
      <c r="J93">
        <f t="shared" si="8"/>
        <v>1.3496433894224696E-2</v>
      </c>
    </row>
    <row r="94" spans="4:10" x14ac:dyDescent="0.15">
      <c r="D94">
        <v>1.74064</v>
      </c>
      <c r="E94">
        <v>2.3712</v>
      </c>
      <c r="F94">
        <v>22759.149392899999</v>
      </c>
      <c r="H94">
        <f t="shared" si="6"/>
        <v>-20.639999999999993</v>
      </c>
      <c r="I94">
        <f t="shared" si="7"/>
        <v>28.799999999999937</v>
      </c>
      <c r="J94">
        <f t="shared" si="8"/>
        <v>4.652756645689627E-2</v>
      </c>
    </row>
    <row r="95" spans="4:10" x14ac:dyDescent="0.15">
      <c r="D95">
        <v>1.74064</v>
      </c>
      <c r="E95">
        <v>2.3807999999999998</v>
      </c>
      <c r="F95">
        <v>22742.8773215</v>
      </c>
      <c r="H95">
        <f t="shared" si="6"/>
        <v>-20.639999999999993</v>
      </c>
      <c r="I95">
        <f t="shared" si="7"/>
        <v>19.200000000000106</v>
      </c>
      <c r="J95">
        <f t="shared" si="8"/>
        <v>3.8256515713429355E-2</v>
      </c>
    </row>
    <row r="96" spans="4:10" x14ac:dyDescent="0.15">
      <c r="D96">
        <v>1.74064</v>
      </c>
      <c r="E96">
        <v>2.3904000000000001</v>
      </c>
      <c r="F96">
        <v>22804.606884500001</v>
      </c>
      <c r="H96">
        <f t="shared" si="6"/>
        <v>-20.639999999999993</v>
      </c>
      <c r="I96">
        <f t="shared" si="7"/>
        <v>9.5999999999998309</v>
      </c>
      <c r="J96">
        <f t="shared" si="8"/>
        <v>6.9633488896147899E-2</v>
      </c>
    </row>
    <row r="97" spans="4:10" x14ac:dyDescent="0.15">
      <c r="D97">
        <v>1.74064</v>
      </c>
      <c r="E97">
        <v>2.4</v>
      </c>
      <c r="F97">
        <v>22824.767685499999</v>
      </c>
      <c r="H97">
        <f t="shared" si="6"/>
        <v>-20.639999999999993</v>
      </c>
      <c r="I97">
        <f t="shared" si="7"/>
        <v>0</v>
      </c>
      <c r="J97">
        <f t="shared" si="8"/>
        <v>7.9881170583430541E-2</v>
      </c>
    </row>
    <row r="98" spans="4:10" x14ac:dyDescent="0.15">
      <c r="D98">
        <v>1.74064</v>
      </c>
      <c r="E98">
        <v>2.4096000000000002</v>
      </c>
      <c r="F98">
        <v>22958.6473907</v>
      </c>
      <c r="H98">
        <f t="shared" si="6"/>
        <v>-20.639999999999993</v>
      </c>
      <c r="I98">
        <f t="shared" si="7"/>
        <v>-9.600000000000275</v>
      </c>
      <c r="J98">
        <f t="shared" si="8"/>
        <v>0.14793186972365674</v>
      </c>
    </row>
    <row r="99" spans="4:10" x14ac:dyDescent="0.15">
      <c r="D99">
        <v>1.74064</v>
      </c>
      <c r="E99">
        <v>2.4192</v>
      </c>
      <c r="F99">
        <v>23070.499843900001</v>
      </c>
      <c r="H99">
        <f t="shared" si="6"/>
        <v>-20.639999999999993</v>
      </c>
      <c r="I99">
        <f t="shared" si="7"/>
        <v>-19.200000000000106</v>
      </c>
      <c r="J99">
        <f t="shared" si="8"/>
        <v>0.20478617508262503</v>
      </c>
    </row>
    <row r="100" spans="4:10" x14ac:dyDescent="0.15">
      <c r="D100">
        <v>1.74064</v>
      </c>
      <c r="E100">
        <v>2.4287999999999998</v>
      </c>
      <c r="F100">
        <v>23213.0147818</v>
      </c>
      <c r="H100">
        <f t="shared" si="6"/>
        <v>-20.639999999999993</v>
      </c>
      <c r="I100">
        <f t="shared" si="7"/>
        <v>-28.799999999999937</v>
      </c>
      <c r="J100">
        <f t="shared" si="8"/>
        <v>0.27722614010594826</v>
      </c>
    </row>
    <row r="101" spans="4:10" x14ac:dyDescent="0.15">
      <c r="D101">
        <v>1.74064</v>
      </c>
      <c r="E101">
        <v>2.4384000000000001</v>
      </c>
      <c r="F101">
        <v>23333.621233999998</v>
      </c>
      <c r="H101">
        <f t="shared" si="6"/>
        <v>-20.639999999999993</v>
      </c>
      <c r="I101">
        <f t="shared" si="7"/>
        <v>-38.400000000000212</v>
      </c>
      <c r="J101">
        <f t="shared" si="8"/>
        <v>0.33853007994336637</v>
      </c>
    </row>
    <row r="103" spans="4:10" x14ac:dyDescent="0.15">
      <c r="D103">
        <v>1.74752</v>
      </c>
      <c r="E103">
        <v>2.3519999999999999</v>
      </c>
      <c r="F103">
        <v>22729.293506800001</v>
      </c>
      <c r="H103">
        <f t="shared" si="6"/>
        <v>-27.519999999999989</v>
      </c>
      <c r="I103">
        <f t="shared" si="7"/>
        <v>48.000000000000043</v>
      </c>
      <c r="J103">
        <f t="shared" si="8"/>
        <v>3.135189872203907E-2</v>
      </c>
    </row>
    <row r="104" spans="4:10" x14ac:dyDescent="0.15">
      <c r="D104">
        <v>1.74752</v>
      </c>
      <c r="E104">
        <v>2.3616000000000001</v>
      </c>
      <c r="F104">
        <v>22680.993843299999</v>
      </c>
      <c r="H104">
        <f t="shared" si="6"/>
        <v>-27.519999999999989</v>
      </c>
      <c r="I104">
        <f t="shared" si="7"/>
        <v>38.399999999999764</v>
      </c>
      <c r="J104">
        <f t="shared" si="8"/>
        <v>6.8013078426922315E-3</v>
      </c>
    </row>
    <row r="105" spans="4:10" x14ac:dyDescent="0.15">
      <c r="D105">
        <v>1.74752</v>
      </c>
      <c r="E105">
        <v>2.3712</v>
      </c>
      <c r="F105">
        <v>22676.864914999998</v>
      </c>
      <c r="H105">
        <f t="shared" si="6"/>
        <v>-27.519999999999989</v>
      </c>
      <c r="I105">
        <f t="shared" si="7"/>
        <v>28.799999999999937</v>
      </c>
      <c r="J105">
        <f t="shared" si="8"/>
        <v>4.7025845366081859E-3</v>
      </c>
    </row>
    <row r="106" spans="4:10" x14ac:dyDescent="0.15">
      <c r="D106">
        <v>1.74752</v>
      </c>
      <c r="E106">
        <v>2.3807999999999998</v>
      </c>
      <c r="F106">
        <v>22667.6132741</v>
      </c>
      <c r="H106">
        <f t="shared" si="6"/>
        <v>-27.519999999999989</v>
      </c>
      <c r="I106">
        <f t="shared" si="7"/>
        <v>19.200000000000106</v>
      </c>
      <c r="J106">
        <f t="shared" si="8"/>
        <v>0</v>
      </c>
    </row>
    <row r="107" spans="4:10" x14ac:dyDescent="0.15">
      <c r="D107">
        <v>1.74752</v>
      </c>
      <c r="E107">
        <v>2.3904000000000001</v>
      </c>
      <c r="F107">
        <v>22686.392572500001</v>
      </c>
      <c r="H107">
        <f t="shared" si="6"/>
        <v>-27.519999999999989</v>
      </c>
      <c r="I107">
        <f t="shared" si="7"/>
        <v>9.5999999999998309</v>
      </c>
      <c r="J107">
        <f t="shared" si="8"/>
        <v>9.5454675790768804E-3</v>
      </c>
    </row>
    <row r="108" spans="4:10" x14ac:dyDescent="0.15">
      <c r="D108">
        <v>1.74752</v>
      </c>
      <c r="E108">
        <v>2.4</v>
      </c>
      <c r="F108">
        <v>22734.601145100001</v>
      </c>
      <c r="H108">
        <f t="shared" si="6"/>
        <v>-27.519999999999989</v>
      </c>
      <c r="I108">
        <f t="shared" si="7"/>
        <v>0</v>
      </c>
      <c r="J108">
        <f t="shared" si="8"/>
        <v>3.4049757195501608E-2</v>
      </c>
    </row>
    <row r="109" spans="4:10" x14ac:dyDescent="0.15">
      <c r="D109">
        <v>1.74752</v>
      </c>
      <c r="E109">
        <v>2.4096000000000002</v>
      </c>
      <c r="F109">
        <v>22845.454890199999</v>
      </c>
      <c r="H109">
        <f t="shared" si="6"/>
        <v>-27.519999999999989</v>
      </c>
      <c r="I109">
        <f t="shared" si="7"/>
        <v>-9.600000000000275</v>
      </c>
      <c r="J109">
        <f t="shared" si="8"/>
        <v>9.0396421875543073E-2</v>
      </c>
    </row>
    <row r="110" spans="4:10" x14ac:dyDescent="0.15">
      <c r="D110">
        <v>1.74752</v>
      </c>
      <c r="E110">
        <v>2.4192</v>
      </c>
      <c r="F110">
        <v>22847.0632123</v>
      </c>
      <c r="H110">
        <f t="shared" si="6"/>
        <v>-27.519999999999989</v>
      </c>
      <c r="I110">
        <f t="shared" si="7"/>
        <v>-19.200000000000106</v>
      </c>
      <c r="J110">
        <f t="shared" si="8"/>
        <v>9.1213927734136266E-2</v>
      </c>
    </row>
    <row r="111" spans="4:10" x14ac:dyDescent="0.15">
      <c r="D111">
        <v>1.74752</v>
      </c>
      <c r="E111">
        <v>2.4287999999999998</v>
      </c>
      <c r="F111">
        <v>22991.964240000001</v>
      </c>
      <c r="H111">
        <f t="shared" si="6"/>
        <v>-27.519999999999989</v>
      </c>
      <c r="I111">
        <f t="shared" si="7"/>
        <v>-28.799999999999937</v>
      </c>
      <c r="J111">
        <f t="shared" si="8"/>
        <v>0.1648667358755328</v>
      </c>
    </row>
    <row r="112" spans="4:10" x14ac:dyDescent="0.15">
      <c r="D112">
        <v>1.74752</v>
      </c>
      <c r="E112">
        <v>2.4384000000000001</v>
      </c>
      <c r="F112">
        <v>23085.2627039</v>
      </c>
      <c r="H112">
        <f t="shared" si="6"/>
        <v>-27.519999999999989</v>
      </c>
      <c r="I112">
        <f t="shared" si="7"/>
        <v>-38.400000000000212</v>
      </c>
      <c r="J112">
        <f t="shared" si="8"/>
        <v>0.2122900976734943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</dc:creator>
  <cp:lastModifiedBy>hirano</cp:lastModifiedBy>
  <dcterms:created xsi:type="dcterms:W3CDTF">2018-12-12T04:34:54Z</dcterms:created>
  <dcterms:modified xsi:type="dcterms:W3CDTF">2018-12-12T04:46:12Z</dcterms:modified>
</cp:coreProperties>
</file>