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tudy\2018\20181113_inj\make\"/>
    </mc:Choice>
  </mc:AlternateContent>
  <bookViews>
    <workbookView xWindow="0" yWindow="0" windowWidth="14370" windowHeight="123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3" i="1"/>
  <c r="J34" i="1"/>
  <c r="J35" i="1"/>
  <c r="J37" i="1"/>
  <c r="J38" i="1"/>
  <c r="J39" i="1"/>
  <c r="J40" i="1"/>
  <c r="J41" i="1"/>
  <c r="J42" i="1"/>
  <c r="J43" i="1"/>
  <c r="J44" i="1"/>
  <c r="J45" i="1"/>
  <c r="J46" i="1"/>
  <c r="J48" i="1"/>
  <c r="J49" i="1"/>
  <c r="J50" i="1"/>
  <c r="J51" i="1"/>
  <c r="J52" i="1"/>
  <c r="J53" i="1"/>
  <c r="J54" i="1"/>
  <c r="J55" i="1"/>
  <c r="J56" i="1"/>
  <c r="J57" i="1"/>
  <c r="J59" i="1"/>
  <c r="J60" i="1"/>
  <c r="J61" i="1"/>
  <c r="J62" i="1"/>
  <c r="J63" i="1"/>
  <c r="J64" i="1"/>
  <c r="J65" i="1"/>
  <c r="J66" i="1"/>
  <c r="J67" i="1"/>
  <c r="J68" i="1"/>
  <c r="J70" i="1"/>
  <c r="J71" i="1"/>
  <c r="J72" i="1"/>
  <c r="J73" i="1"/>
  <c r="J74" i="1"/>
  <c r="J75" i="1"/>
  <c r="J76" i="1"/>
  <c r="J77" i="1"/>
  <c r="J78" i="1"/>
  <c r="J79" i="1"/>
  <c r="J81" i="1"/>
  <c r="J82" i="1"/>
  <c r="J83" i="1"/>
  <c r="J84" i="1"/>
  <c r="J85" i="1"/>
  <c r="J86" i="1"/>
  <c r="J87" i="1"/>
  <c r="J88" i="1"/>
  <c r="J89" i="1"/>
  <c r="J90" i="1"/>
  <c r="J92" i="1"/>
  <c r="J93" i="1"/>
  <c r="J94" i="1"/>
  <c r="J95" i="1"/>
  <c r="J96" i="1"/>
  <c r="J97" i="1"/>
  <c r="J98" i="1"/>
  <c r="J99" i="1"/>
  <c r="J100" i="1"/>
  <c r="J101" i="1"/>
  <c r="J103" i="1"/>
  <c r="J104" i="1"/>
  <c r="J105" i="1"/>
  <c r="J106" i="1"/>
  <c r="J107" i="1"/>
  <c r="J108" i="1"/>
  <c r="J109" i="1"/>
  <c r="J110" i="1"/>
  <c r="J111" i="1"/>
  <c r="J112" i="1"/>
  <c r="J4" i="1"/>
  <c r="A12" i="1"/>
  <c r="B10" i="1"/>
  <c r="A10" i="1"/>
  <c r="I5" i="1"/>
  <c r="I6" i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6" i="1"/>
  <c r="I27" i="1"/>
  <c r="I28" i="1"/>
  <c r="I29" i="1"/>
  <c r="I30" i="1"/>
  <c r="I31" i="1"/>
  <c r="I32" i="1"/>
  <c r="I33" i="1"/>
  <c r="I34" i="1"/>
  <c r="I35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1" i="1"/>
  <c r="I52" i="1"/>
  <c r="I53" i="1"/>
  <c r="I54" i="1"/>
  <c r="I55" i="1"/>
  <c r="I56" i="1"/>
  <c r="I57" i="1"/>
  <c r="I59" i="1"/>
  <c r="I60" i="1"/>
  <c r="I61" i="1"/>
  <c r="I62" i="1"/>
  <c r="I63" i="1"/>
  <c r="I64" i="1"/>
  <c r="I65" i="1"/>
  <c r="I66" i="1"/>
  <c r="I67" i="1"/>
  <c r="I68" i="1"/>
  <c r="I70" i="1"/>
  <c r="I71" i="1"/>
  <c r="I72" i="1"/>
  <c r="I73" i="1"/>
  <c r="I74" i="1"/>
  <c r="I75" i="1"/>
  <c r="I76" i="1"/>
  <c r="I77" i="1"/>
  <c r="I78" i="1"/>
  <c r="I79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5" i="1"/>
  <c r="I96" i="1"/>
  <c r="I97" i="1"/>
  <c r="I98" i="1"/>
  <c r="I99" i="1"/>
  <c r="I100" i="1"/>
  <c r="I101" i="1"/>
  <c r="I103" i="1"/>
  <c r="I104" i="1"/>
  <c r="I105" i="1"/>
  <c r="I106" i="1"/>
  <c r="I107" i="1"/>
  <c r="I108" i="1"/>
  <c r="I109" i="1"/>
  <c r="I110" i="1"/>
  <c r="I111" i="1"/>
  <c r="I112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3" i="1"/>
  <c r="H64" i="1"/>
  <c r="H65" i="1"/>
  <c r="H66" i="1"/>
  <c r="H67" i="1"/>
  <c r="H68" i="1"/>
  <c r="H70" i="1"/>
  <c r="H71" i="1"/>
  <c r="H72" i="1"/>
  <c r="H73" i="1"/>
  <c r="H74" i="1"/>
  <c r="H75" i="1"/>
  <c r="H76" i="1"/>
  <c r="H77" i="1"/>
  <c r="H78" i="1"/>
  <c r="H79" i="1"/>
  <c r="H81" i="1"/>
  <c r="H82" i="1"/>
  <c r="H83" i="1"/>
  <c r="H84" i="1"/>
  <c r="H85" i="1"/>
  <c r="H86" i="1"/>
  <c r="H87" i="1"/>
  <c r="H88" i="1"/>
  <c r="H89" i="1"/>
  <c r="H90" i="1"/>
  <c r="H92" i="1"/>
  <c r="H93" i="1"/>
  <c r="H94" i="1"/>
  <c r="H95" i="1"/>
  <c r="H96" i="1"/>
  <c r="H97" i="1"/>
  <c r="H98" i="1"/>
  <c r="H99" i="1"/>
  <c r="H100" i="1"/>
  <c r="H101" i="1"/>
  <c r="H103" i="1"/>
  <c r="H104" i="1"/>
  <c r="H105" i="1"/>
  <c r="H106" i="1"/>
  <c r="H107" i="1"/>
  <c r="H108" i="1"/>
  <c r="H109" i="1"/>
  <c r="H110" i="1"/>
  <c r="H111" i="1"/>
  <c r="H112" i="1"/>
  <c r="H4" i="1"/>
  <c r="I4" i="1"/>
</calcChain>
</file>

<file path=xl/sharedStrings.xml><?xml version="1.0" encoding="utf-8"?>
<sst xmlns="http://schemas.openxmlformats.org/spreadsheetml/2006/main" count="3" uniqueCount="3">
  <si>
    <t xml:space="preserve">Kicker </t>
    <phoneticPr fontId="1"/>
  </si>
  <si>
    <t>Angle</t>
    <phoneticPr fontId="1"/>
  </si>
  <si>
    <t xml:space="preserve">Delay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</si>
</sst>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12"/>
  <sheetViews>
    <sheetView tabSelected="1" topLeftCell="D1" workbookViewId="0">
      <selection activeCell="H4" sqref="H4:J112"/>
    </sheetView>
  </sheetViews>
  <sheetFormatPr defaultRowHeight="13.5" x14ac:dyDescent="0.15"/>
  <sheetData>
    <row r="3" spans="1:10" x14ac:dyDescent="0.15">
      <c r="A3" s="1" t="s">
        <v>0</v>
      </c>
      <c r="B3" s="2"/>
    </row>
    <row r="4" spans="1:10" x14ac:dyDescent="0.15">
      <c r="A4" s="3" t="s">
        <v>1</v>
      </c>
      <c r="B4" s="4" t="s">
        <v>2</v>
      </c>
      <c r="D4">
        <v>1.6856</v>
      </c>
      <c r="E4">
        <v>2.3519999999999999</v>
      </c>
      <c r="F4">
        <v>23241.8612288</v>
      </c>
      <c r="H4">
        <f>-(D4-1.72)*1000</f>
        <v>34.399999999999984</v>
      </c>
      <c r="I4">
        <f>-(E4-2.4)*1000</f>
        <v>48.000000000000043</v>
      </c>
      <c r="J4">
        <f>(F4-$A$10)/$A$12</f>
        <v>0.40111172580048443</v>
      </c>
    </row>
    <row r="5" spans="1:10" x14ac:dyDescent="0.15">
      <c r="A5" s="3">
        <v>2.2200000000000002</v>
      </c>
      <c r="B5" s="4">
        <v>1900</v>
      </c>
      <c r="D5">
        <v>1.6856</v>
      </c>
      <c r="E5">
        <v>2.3616000000000001</v>
      </c>
      <c r="F5">
        <v>23316.344734800001</v>
      </c>
      <c r="H5">
        <f t="shared" ref="H5:H68" si="0">-(D5-1.72)*1000</f>
        <v>34.399999999999984</v>
      </c>
      <c r="I5">
        <f t="shared" ref="I5:I68" si="1">-(E5-2.4)*1000</f>
        <v>38.399999999999764</v>
      </c>
      <c r="J5">
        <f t="shared" ref="J5:J68" si="2">(F5-$A$10)/$A$12</f>
        <v>0.45119112767799424</v>
      </c>
    </row>
    <row r="6" spans="1:10" x14ac:dyDescent="0.15">
      <c r="A6" s="3">
        <v>0</v>
      </c>
      <c r="B6" s="4">
        <v>1800</v>
      </c>
      <c r="D6">
        <v>1.6856</v>
      </c>
      <c r="E6">
        <v>2.3712</v>
      </c>
      <c r="F6">
        <v>23338.718089499998</v>
      </c>
      <c r="H6">
        <f t="shared" si="0"/>
        <v>34.399999999999984</v>
      </c>
      <c r="I6">
        <f t="shared" si="1"/>
        <v>28.799999999999937</v>
      </c>
      <c r="J6">
        <f t="shared" si="2"/>
        <v>0.46623397785437065</v>
      </c>
    </row>
    <row r="7" spans="1:10" x14ac:dyDescent="0.15">
      <c r="A7" s="3">
        <v>1.51</v>
      </c>
      <c r="B7" s="4">
        <v>1720</v>
      </c>
      <c r="D7">
        <v>1.6856</v>
      </c>
      <c r="E7">
        <v>2.3807999999999998</v>
      </c>
      <c r="F7">
        <v>23389.587194799999</v>
      </c>
      <c r="H7">
        <f t="shared" si="0"/>
        <v>34.399999999999984</v>
      </c>
      <c r="I7">
        <f t="shared" si="1"/>
        <v>19.200000000000106</v>
      </c>
      <c r="J7">
        <f t="shared" si="2"/>
        <v>0.50043610533569594</v>
      </c>
    </row>
    <row r="8" spans="1:10" x14ac:dyDescent="0.15">
      <c r="A8" s="5">
        <v>3.57</v>
      </c>
      <c r="B8" s="6">
        <v>2400</v>
      </c>
      <c r="D8">
        <v>1.6856</v>
      </c>
      <c r="E8">
        <v>2.3904000000000001</v>
      </c>
      <c r="F8">
        <v>23473.7283627</v>
      </c>
      <c r="H8">
        <f t="shared" si="0"/>
        <v>34.399999999999984</v>
      </c>
      <c r="I8">
        <f t="shared" si="1"/>
        <v>9.5999999999998309</v>
      </c>
      <c r="J8">
        <f t="shared" si="2"/>
        <v>0.55700889021114419</v>
      </c>
    </row>
    <row r="9" spans="1:10" x14ac:dyDescent="0.15">
      <c r="D9">
        <v>1.6856</v>
      </c>
      <c r="E9">
        <v>2.4</v>
      </c>
      <c r="F9">
        <v>23593.0656758</v>
      </c>
      <c r="H9">
        <f t="shared" si="0"/>
        <v>34.399999999999984</v>
      </c>
      <c r="I9">
        <f t="shared" si="1"/>
        <v>0</v>
      </c>
      <c r="J9">
        <f t="shared" si="2"/>
        <v>0.63724600017904909</v>
      </c>
    </row>
    <row r="10" spans="1:10" x14ac:dyDescent="0.15">
      <c r="A10">
        <f>MIN(F4:F300)</f>
        <v>22645.284462399999</v>
      </c>
      <c r="B10">
        <f>MAX(F4:F300)</f>
        <v>24132.592681099999</v>
      </c>
      <c r="D10">
        <v>1.6856</v>
      </c>
      <c r="E10">
        <v>2.4096000000000002</v>
      </c>
      <c r="F10">
        <v>23689.567049599998</v>
      </c>
      <c r="H10">
        <f t="shared" si="0"/>
        <v>34.399999999999984</v>
      </c>
      <c r="I10">
        <f t="shared" si="1"/>
        <v>-9.600000000000275</v>
      </c>
      <c r="J10">
        <f t="shared" si="2"/>
        <v>0.70212923862732868</v>
      </c>
    </row>
    <row r="11" spans="1:10" x14ac:dyDescent="0.15">
      <c r="D11">
        <v>1.6856</v>
      </c>
      <c r="E11">
        <v>2.4192</v>
      </c>
      <c r="F11">
        <v>23806.318932599999</v>
      </c>
      <c r="H11">
        <f t="shared" si="0"/>
        <v>34.399999999999984</v>
      </c>
      <c r="I11">
        <f t="shared" si="1"/>
        <v>-19.200000000000106</v>
      </c>
      <c r="J11">
        <f t="shared" si="2"/>
        <v>0.7806280202060718</v>
      </c>
    </row>
    <row r="12" spans="1:10" x14ac:dyDescent="0.15">
      <c r="A12">
        <f>B10-A10</f>
        <v>1487.3082187</v>
      </c>
      <c r="D12">
        <v>1.6856</v>
      </c>
      <c r="E12">
        <v>2.4287999999999998</v>
      </c>
      <c r="F12">
        <v>23976.0657995</v>
      </c>
      <c r="H12">
        <f t="shared" si="0"/>
        <v>34.399999999999984</v>
      </c>
      <c r="I12">
        <f t="shared" si="1"/>
        <v>-28.799999999999937</v>
      </c>
      <c r="J12">
        <f t="shared" si="2"/>
        <v>0.89475827563380705</v>
      </c>
    </row>
    <row r="13" spans="1:10" x14ac:dyDescent="0.15">
      <c r="D13">
        <v>1.6856</v>
      </c>
      <c r="E13">
        <v>2.4384000000000001</v>
      </c>
      <c r="F13">
        <v>24132.592681099999</v>
      </c>
      <c r="H13">
        <f t="shared" si="0"/>
        <v>34.399999999999984</v>
      </c>
      <c r="I13">
        <f t="shared" si="1"/>
        <v>-38.400000000000212</v>
      </c>
      <c r="J13">
        <f t="shared" si="2"/>
        <v>1</v>
      </c>
    </row>
    <row r="15" spans="1:10" x14ac:dyDescent="0.15">
      <c r="D15">
        <v>1.69248</v>
      </c>
      <c r="E15">
        <v>2.3519999999999999</v>
      </c>
      <c r="F15">
        <v>23269.155093500001</v>
      </c>
      <c r="H15">
        <f t="shared" si="0"/>
        <v>27.519999999999989</v>
      </c>
      <c r="I15">
        <f t="shared" si="1"/>
        <v>48.000000000000043</v>
      </c>
      <c r="J15">
        <f t="shared" si="2"/>
        <v>0.41946290839790029</v>
      </c>
    </row>
    <row r="16" spans="1:10" x14ac:dyDescent="0.15">
      <c r="D16">
        <v>1.69248</v>
      </c>
      <c r="E16">
        <v>2.3616000000000001</v>
      </c>
      <c r="F16">
        <v>23201.931574900002</v>
      </c>
      <c r="H16">
        <f t="shared" si="0"/>
        <v>27.519999999999989</v>
      </c>
      <c r="I16">
        <f t="shared" si="1"/>
        <v>38.399999999999764</v>
      </c>
      <c r="J16">
        <f t="shared" si="2"/>
        <v>0.37426479965702519</v>
      </c>
    </row>
    <row r="17" spans="4:10" x14ac:dyDescent="0.15">
      <c r="D17">
        <v>1.69248</v>
      </c>
      <c r="E17">
        <v>2.3712</v>
      </c>
      <c r="F17">
        <v>23258.228428599999</v>
      </c>
      <c r="H17">
        <f t="shared" si="0"/>
        <v>27.519999999999989</v>
      </c>
      <c r="I17">
        <f t="shared" si="1"/>
        <v>28.799999999999937</v>
      </c>
      <c r="J17">
        <f t="shared" si="2"/>
        <v>0.4121163041348293</v>
      </c>
    </row>
    <row r="18" spans="4:10" x14ac:dyDescent="0.15">
      <c r="D18">
        <v>1.69248</v>
      </c>
      <c r="E18">
        <v>2.3807999999999998</v>
      </c>
      <c r="F18">
        <v>23284.700550400001</v>
      </c>
      <c r="H18">
        <f t="shared" si="0"/>
        <v>27.519999999999989</v>
      </c>
      <c r="I18">
        <f t="shared" si="1"/>
        <v>19.200000000000106</v>
      </c>
      <c r="J18">
        <f t="shared" si="2"/>
        <v>0.42991498329706751</v>
      </c>
    </row>
    <row r="19" spans="4:10" x14ac:dyDescent="0.15">
      <c r="D19">
        <v>1.69248</v>
      </c>
      <c r="E19">
        <v>2.3904000000000001</v>
      </c>
      <c r="F19">
        <v>23391.4349181</v>
      </c>
      <c r="H19">
        <f t="shared" si="0"/>
        <v>27.519999999999989</v>
      </c>
      <c r="I19">
        <f t="shared" si="1"/>
        <v>9.5999999999998309</v>
      </c>
      <c r="J19">
        <f t="shared" si="2"/>
        <v>0.50167843243156596</v>
      </c>
    </row>
    <row r="20" spans="4:10" x14ac:dyDescent="0.15">
      <c r="D20">
        <v>1.69248</v>
      </c>
      <c r="E20">
        <v>2.4</v>
      </c>
      <c r="F20">
        <v>23444.471175800001</v>
      </c>
      <c r="H20">
        <f t="shared" si="0"/>
        <v>27.519999999999989</v>
      </c>
      <c r="I20">
        <f t="shared" si="1"/>
        <v>0</v>
      </c>
      <c r="J20">
        <f t="shared" si="2"/>
        <v>0.53733765695085123</v>
      </c>
    </row>
    <row r="21" spans="4:10" x14ac:dyDescent="0.15">
      <c r="D21">
        <v>1.69248</v>
      </c>
      <c r="E21">
        <v>2.4096000000000002</v>
      </c>
      <c r="F21">
        <v>23570.050249</v>
      </c>
      <c r="H21">
        <f t="shared" si="0"/>
        <v>27.519999999999989</v>
      </c>
      <c r="I21">
        <f t="shared" si="1"/>
        <v>-9.600000000000275</v>
      </c>
      <c r="J21">
        <f t="shared" si="2"/>
        <v>0.62177144923484906</v>
      </c>
    </row>
    <row r="22" spans="4:10" x14ac:dyDescent="0.15">
      <c r="D22">
        <v>1.69248</v>
      </c>
      <c r="E22">
        <v>2.4192</v>
      </c>
      <c r="F22">
        <v>23669.0525079</v>
      </c>
      <c r="H22">
        <f t="shared" si="0"/>
        <v>27.519999999999989</v>
      </c>
      <c r="I22">
        <f t="shared" si="1"/>
        <v>-19.200000000000106</v>
      </c>
      <c r="J22">
        <f t="shared" si="2"/>
        <v>0.68833617176864514</v>
      </c>
    </row>
    <row r="23" spans="4:10" x14ac:dyDescent="0.15">
      <c r="D23">
        <v>1.69248</v>
      </c>
      <c r="E23">
        <v>2.4287999999999998</v>
      </c>
      <c r="F23">
        <v>23837.261608299999</v>
      </c>
      <c r="H23">
        <f t="shared" si="0"/>
        <v>27.519999999999989</v>
      </c>
      <c r="I23">
        <f t="shared" si="1"/>
        <v>-28.799999999999937</v>
      </c>
      <c r="J23">
        <f t="shared" si="2"/>
        <v>0.80143250128871246</v>
      </c>
    </row>
    <row r="24" spans="4:10" x14ac:dyDescent="0.15">
      <c r="D24">
        <v>1.69248</v>
      </c>
      <c r="E24">
        <v>2.4384000000000001</v>
      </c>
      <c r="F24">
        <v>23976.544272300001</v>
      </c>
      <c r="H24">
        <f t="shared" si="0"/>
        <v>27.519999999999989</v>
      </c>
      <c r="I24">
        <f t="shared" si="1"/>
        <v>-38.400000000000212</v>
      </c>
      <c r="J24">
        <f t="shared" si="2"/>
        <v>0.89507997949719287</v>
      </c>
    </row>
    <row r="26" spans="4:10" x14ac:dyDescent="0.15">
      <c r="D26">
        <v>1.69936</v>
      </c>
      <c r="E26">
        <v>2.3519999999999999</v>
      </c>
      <c r="F26">
        <v>23161.934538199999</v>
      </c>
      <c r="H26">
        <f t="shared" si="0"/>
        <v>20.639999999999993</v>
      </c>
      <c r="I26">
        <f t="shared" si="1"/>
        <v>48.000000000000043</v>
      </c>
      <c r="J26">
        <f t="shared" si="2"/>
        <v>0.34737256831108249</v>
      </c>
    </row>
    <row r="27" spans="4:10" x14ac:dyDescent="0.15">
      <c r="D27">
        <v>1.69936</v>
      </c>
      <c r="E27">
        <v>2.3616000000000001</v>
      </c>
      <c r="F27">
        <v>23108.321774</v>
      </c>
      <c r="H27">
        <f t="shared" si="0"/>
        <v>20.639999999999993</v>
      </c>
      <c r="I27">
        <f t="shared" si="1"/>
        <v>38.399999999999764</v>
      </c>
      <c r="J27">
        <f t="shared" si="2"/>
        <v>0.31132572642187401</v>
      </c>
    </row>
    <row r="28" spans="4:10" x14ac:dyDescent="0.15">
      <c r="D28">
        <v>1.69936</v>
      </c>
      <c r="E28">
        <v>2.3712</v>
      </c>
      <c r="F28">
        <v>23124.124986499999</v>
      </c>
      <c r="H28">
        <f t="shared" si="0"/>
        <v>20.639999999999993</v>
      </c>
      <c r="I28">
        <f t="shared" si="1"/>
        <v>28.799999999999937</v>
      </c>
      <c r="J28">
        <f t="shared" si="2"/>
        <v>0.32195110474043942</v>
      </c>
    </row>
    <row r="29" spans="4:10" x14ac:dyDescent="0.15">
      <c r="D29">
        <v>1.69936</v>
      </c>
      <c r="E29">
        <v>2.3807999999999998</v>
      </c>
      <c r="F29">
        <v>23145.8649257</v>
      </c>
      <c r="H29">
        <f t="shared" si="0"/>
        <v>20.639999999999993</v>
      </c>
      <c r="I29">
        <f t="shared" si="1"/>
        <v>19.200000000000106</v>
      </c>
      <c r="J29">
        <f t="shared" si="2"/>
        <v>0.33656807446242665</v>
      </c>
    </row>
    <row r="30" spans="4:10" x14ac:dyDescent="0.15">
      <c r="D30">
        <v>1.69936</v>
      </c>
      <c r="E30">
        <v>2.3904000000000001</v>
      </c>
      <c r="F30">
        <v>23202.895185400001</v>
      </c>
      <c r="H30">
        <f t="shared" si="0"/>
        <v>20.639999999999993</v>
      </c>
      <c r="I30">
        <f t="shared" si="1"/>
        <v>9.5999999999998309</v>
      </c>
      <c r="J30">
        <f t="shared" si="2"/>
        <v>0.37491268856658916</v>
      </c>
    </row>
    <row r="31" spans="4:10" x14ac:dyDescent="0.15">
      <c r="D31">
        <v>1.69936</v>
      </c>
      <c r="E31">
        <v>2.4</v>
      </c>
      <c r="F31">
        <v>23278.373697499999</v>
      </c>
      <c r="H31">
        <f t="shared" si="0"/>
        <v>20.639999999999993</v>
      </c>
      <c r="I31">
        <f t="shared" si="1"/>
        <v>0</v>
      </c>
      <c r="J31">
        <f t="shared" si="2"/>
        <v>0.42566108836093142</v>
      </c>
    </row>
    <row r="32" spans="4:10" x14ac:dyDescent="0.15">
      <c r="D32">
        <v>1.69936</v>
      </c>
      <c r="E32">
        <v>2.4096000000000002</v>
      </c>
      <c r="F32">
        <v>23378.378978500001</v>
      </c>
      <c r="H32">
        <f t="shared" si="0"/>
        <v>20.639999999999993</v>
      </c>
      <c r="I32">
        <f t="shared" si="1"/>
        <v>-9.600000000000275</v>
      </c>
      <c r="J32">
        <f t="shared" si="2"/>
        <v>0.49290019841399924</v>
      </c>
    </row>
    <row r="33" spans="4:10" x14ac:dyDescent="0.15">
      <c r="D33">
        <v>1.69936</v>
      </c>
      <c r="E33">
        <v>2.4192</v>
      </c>
      <c r="F33">
        <v>23498.216893299999</v>
      </c>
      <c r="H33">
        <f t="shared" si="0"/>
        <v>20.639999999999993</v>
      </c>
      <c r="I33">
        <f t="shared" si="1"/>
        <v>-19.200000000000106</v>
      </c>
      <c r="J33">
        <f t="shared" si="2"/>
        <v>0.57347389073497923</v>
      </c>
    </row>
    <row r="34" spans="4:10" x14ac:dyDescent="0.15">
      <c r="D34">
        <v>1.69936</v>
      </c>
      <c r="E34">
        <v>2.4287999999999998</v>
      </c>
      <c r="F34">
        <v>23630.821945600001</v>
      </c>
      <c r="H34">
        <f t="shared" si="0"/>
        <v>20.639999999999993</v>
      </c>
      <c r="I34">
        <f t="shared" si="1"/>
        <v>-28.799999999999937</v>
      </c>
      <c r="J34">
        <f t="shared" si="2"/>
        <v>0.66263163936619862</v>
      </c>
    </row>
    <row r="35" spans="4:10" x14ac:dyDescent="0.15">
      <c r="D35">
        <v>1.69936</v>
      </c>
      <c r="E35">
        <v>2.4384000000000001</v>
      </c>
      <c r="F35">
        <v>23764.8482291</v>
      </c>
      <c r="H35">
        <f t="shared" si="0"/>
        <v>20.639999999999993</v>
      </c>
      <c r="I35">
        <f t="shared" si="1"/>
        <v>-38.400000000000212</v>
      </c>
      <c r="J35">
        <f t="shared" si="2"/>
        <v>0.75274496074429642</v>
      </c>
    </row>
    <row r="37" spans="4:10" x14ac:dyDescent="0.15">
      <c r="D37">
        <v>1.70624</v>
      </c>
      <c r="E37">
        <v>2.3519999999999999</v>
      </c>
      <c r="F37">
        <v>23098.934219399998</v>
      </c>
      <c r="H37">
        <f t="shared" si="0"/>
        <v>13.759999999999994</v>
      </c>
      <c r="I37">
        <f t="shared" si="1"/>
        <v>48.000000000000043</v>
      </c>
      <c r="J37">
        <f t="shared" si="2"/>
        <v>0.30501395157791661</v>
      </c>
    </row>
    <row r="38" spans="4:10" x14ac:dyDescent="0.15">
      <c r="D38">
        <v>1.70624</v>
      </c>
      <c r="E38">
        <v>2.3616000000000001</v>
      </c>
      <c r="F38">
        <v>23029.879086699999</v>
      </c>
      <c r="H38">
        <f t="shared" si="0"/>
        <v>13.759999999999994</v>
      </c>
      <c r="I38">
        <f t="shared" si="1"/>
        <v>38.399999999999764</v>
      </c>
      <c r="J38">
        <f t="shared" si="2"/>
        <v>0.25858434685189835</v>
      </c>
    </row>
    <row r="39" spans="4:10" x14ac:dyDescent="0.15">
      <c r="D39">
        <v>1.70624</v>
      </c>
      <c r="E39">
        <v>2.3712</v>
      </c>
      <c r="F39">
        <v>23039.0595593</v>
      </c>
      <c r="H39">
        <f t="shared" si="0"/>
        <v>13.759999999999994</v>
      </c>
      <c r="I39">
        <f t="shared" si="1"/>
        <v>28.799999999999937</v>
      </c>
      <c r="J39">
        <f t="shared" si="2"/>
        <v>0.26475688895485616</v>
      </c>
    </row>
    <row r="40" spans="4:10" x14ac:dyDescent="0.15">
      <c r="D40">
        <v>1.70624</v>
      </c>
      <c r="E40">
        <v>2.3807999999999998</v>
      </c>
      <c r="F40">
        <v>23041.7819824</v>
      </c>
      <c r="H40">
        <f t="shared" si="0"/>
        <v>13.759999999999994</v>
      </c>
      <c r="I40">
        <f t="shared" si="1"/>
        <v>19.200000000000106</v>
      </c>
      <c r="J40">
        <f t="shared" si="2"/>
        <v>0.26658732535382901</v>
      </c>
    </row>
    <row r="41" spans="4:10" x14ac:dyDescent="0.15">
      <c r="D41">
        <v>1.70624</v>
      </c>
      <c r="E41">
        <v>2.3904000000000001</v>
      </c>
      <c r="F41">
        <v>23070.536243499999</v>
      </c>
      <c r="H41">
        <f t="shared" si="0"/>
        <v>13.759999999999994</v>
      </c>
      <c r="I41">
        <f t="shared" si="1"/>
        <v>9.5999999999998309</v>
      </c>
      <c r="J41">
        <f t="shared" si="2"/>
        <v>0.28592041363941118</v>
      </c>
    </row>
    <row r="42" spans="4:10" x14ac:dyDescent="0.15">
      <c r="D42">
        <v>1.70624</v>
      </c>
      <c r="E42">
        <v>2.4</v>
      </c>
      <c r="F42">
        <v>23137.6850295</v>
      </c>
      <c r="H42">
        <f t="shared" si="0"/>
        <v>13.759999999999994</v>
      </c>
      <c r="I42">
        <f t="shared" si="1"/>
        <v>0</v>
      </c>
      <c r="J42">
        <f t="shared" si="2"/>
        <v>0.33106827549866569</v>
      </c>
    </row>
    <row r="43" spans="4:10" x14ac:dyDescent="0.15">
      <c r="D43">
        <v>1.70624</v>
      </c>
      <c r="E43">
        <v>2.4096000000000002</v>
      </c>
      <c r="F43">
        <v>23219.990022999998</v>
      </c>
      <c r="H43">
        <f t="shared" si="0"/>
        <v>13.759999999999994</v>
      </c>
      <c r="I43">
        <f t="shared" si="1"/>
        <v>-9.600000000000275</v>
      </c>
      <c r="J43">
        <f t="shared" si="2"/>
        <v>0.38640649824575563</v>
      </c>
    </row>
    <row r="44" spans="4:10" x14ac:dyDescent="0.15">
      <c r="D44">
        <v>1.70624</v>
      </c>
      <c r="E44">
        <v>2.4192</v>
      </c>
      <c r="F44">
        <v>23313.146864900002</v>
      </c>
      <c r="H44">
        <f t="shared" si="0"/>
        <v>13.759999999999994</v>
      </c>
      <c r="I44">
        <f t="shared" si="1"/>
        <v>-19.200000000000106</v>
      </c>
      <c r="J44">
        <f t="shared" si="2"/>
        <v>0.44904102196366263</v>
      </c>
    </row>
    <row r="45" spans="4:10" x14ac:dyDescent="0.15">
      <c r="D45">
        <v>1.70624</v>
      </c>
      <c r="E45">
        <v>2.4287999999999998</v>
      </c>
      <c r="F45">
        <v>23424.3943765</v>
      </c>
      <c r="H45">
        <f t="shared" si="0"/>
        <v>13.759999999999994</v>
      </c>
      <c r="I45">
        <f t="shared" si="1"/>
        <v>-28.799999999999937</v>
      </c>
      <c r="J45">
        <f t="shared" si="2"/>
        <v>0.52383890864328841</v>
      </c>
    </row>
    <row r="46" spans="4:10" x14ac:dyDescent="0.15">
      <c r="D46">
        <v>1.70624</v>
      </c>
      <c r="E46">
        <v>2.4384000000000001</v>
      </c>
      <c r="F46">
        <v>23578.099225599999</v>
      </c>
      <c r="H46">
        <f t="shared" si="0"/>
        <v>13.759999999999994</v>
      </c>
      <c r="I46">
        <f t="shared" si="1"/>
        <v>-38.400000000000212</v>
      </c>
      <c r="J46">
        <f t="shared" si="2"/>
        <v>0.62718322367325996</v>
      </c>
    </row>
    <row r="48" spans="4:10" x14ac:dyDescent="0.15">
      <c r="D48">
        <v>1.71312</v>
      </c>
      <c r="E48">
        <v>2.3519999999999999</v>
      </c>
      <c r="F48">
        <v>23035.030254500001</v>
      </c>
      <c r="H48">
        <f t="shared" si="0"/>
        <v>6.8799999999999972</v>
      </c>
      <c r="I48">
        <f t="shared" si="1"/>
        <v>48.000000000000043</v>
      </c>
      <c r="J48">
        <f t="shared" si="2"/>
        <v>0.26204776333493562</v>
      </c>
    </row>
    <row r="49" spans="4:10" x14ac:dyDescent="0.15">
      <c r="D49">
        <v>1.71312</v>
      </c>
      <c r="E49">
        <v>2.3616000000000001</v>
      </c>
      <c r="F49">
        <v>22936.951845899999</v>
      </c>
      <c r="H49">
        <f t="shared" si="0"/>
        <v>6.8799999999999972</v>
      </c>
      <c r="I49">
        <f t="shared" si="1"/>
        <v>38.399999999999764</v>
      </c>
      <c r="J49">
        <f t="shared" si="2"/>
        <v>0.19610419671783674</v>
      </c>
    </row>
    <row r="50" spans="4:10" x14ac:dyDescent="0.15">
      <c r="D50">
        <v>1.71312</v>
      </c>
      <c r="E50">
        <v>2.3712</v>
      </c>
      <c r="F50">
        <v>22947.515481499999</v>
      </c>
      <c r="H50">
        <f t="shared" si="0"/>
        <v>6.8799999999999972</v>
      </c>
      <c r="I50">
        <f t="shared" si="1"/>
        <v>28.799999999999937</v>
      </c>
      <c r="J50">
        <f t="shared" si="2"/>
        <v>0.20320671620047148</v>
      </c>
    </row>
    <row r="51" spans="4:10" x14ac:dyDescent="0.15">
      <c r="D51">
        <v>1.71312</v>
      </c>
      <c r="E51">
        <v>2.3807999999999998</v>
      </c>
      <c r="F51">
        <v>22977.6803664</v>
      </c>
      <c r="H51">
        <f t="shared" si="0"/>
        <v>6.8799999999999972</v>
      </c>
      <c r="I51">
        <f t="shared" si="1"/>
        <v>19.200000000000106</v>
      </c>
      <c r="J51">
        <f t="shared" si="2"/>
        <v>0.22348824528821309</v>
      </c>
    </row>
    <row r="52" spans="4:10" x14ac:dyDescent="0.15">
      <c r="D52">
        <v>1.71312</v>
      </c>
      <c r="E52">
        <v>2.3904000000000001</v>
      </c>
      <c r="F52">
        <v>23022.087870200001</v>
      </c>
      <c r="H52">
        <f t="shared" si="0"/>
        <v>6.8799999999999972</v>
      </c>
      <c r="I52">
        <f t="shared" si="1"/>
        <v>9.5999999999998309</v>
      </c>
      <c r="J52">
        <f t="shared" si="2"/>
        <v>0.25334587885848675</v>
      </c>
    </row>
    <row r="53" spans="4:10" x14ac:dyDescent="0.15">
      <c r="D53">
        <v>1.71312</v>
      </c>
      <c r="E53">
        <v>2.4</v>
      </c>
      <c r="F53">
        <v>23069.891286900001</v>
      </c>
      <c r="H53">
        <f t="shared" si="0"/>
        <v>6.8799999999999972</v>
      </c>
      <c r="I53">
        <f t="shared" si="1"/>
        <v>0</v>
      </c>
      <c r="J53">
        <f t="shared" si="2"/>
        <v>0.28548677346188217</v>
      </c>
    </row>
    <row r="54" spans="4:10" x14ac:dyDescent="0.15">
      <c r="D54">
        <v>1.71312</v>
      </c>
      <c r="E54">
        <v>2.4096000000000002</v>
      </c>
      <c r="F54">
        <v>23156.998063899999</v>
      </c>
      <c r="H54">
        <f t="shared" si="0"/>
        <v>6.8799999999999972</v>
      </c>
      <c r="I54">
        <f t="shared" si="1"/>
        <v>-9.600000000000275</v>
      </c>
      <c r="J54">
        <f t="shared" si="2"/>
        <v>0.34405350220364489</v>
      </c>
    </row>
    <row r="55" spans="4:10" x14ac:dyDescent="0.15">
      <c r="D55">
        <v>1.71312</v>
      </c>
      <c r="E55">
        <v>2.4192</v>
      </c>
      <c r="F55">
        <v>23193.6797391</v>
      </c>
      <c r="H55">
        <f t="shared" si="0"/>
        <v>6.8799999999999972</v>
      </c>
      <c r="I55">
        <f t="shared" si="1"/>
        <v>-19.200000000000106</v>
      </c>
      <c r="J55">
        <f t="shared" si="2"/>
        <v>0.36871663170081359</v>
      </c>
    </row>
    <row r="56" spans="4:10" x14ac:dyDescent="0.15">
      <c r="D56">
        <v>1.71312</v>
      </c>
      <c r="E56">
        <v>2.4287999999999998</v>
      </c>
      <c r="F56">
        <v>23279.8967625</v>
      </c>
      <c r="H56">
        <f t="shared" si="0"/>
        <v>6.8799999999999972</v>
      </c>
      <c r="I56">
        <f t="shared" si="1"/>
        <v>-28.799999999999937</v>
      </c>
      <c r="J56">
        <f t="shared" si="2"/>
        <v>0.42668512963284244</v>
      </c>
    </row>
    <row r="57" spans="4:10" x14ac:dyDescent="0.15">
      <c r="D57">
        <v>1.71312</v>
      </c>
      <c r="E57">
        <v>2.4384000000000001</v>
      </c>
      <c r="F57">
        <v>23413.0072913</v>
      </c>
      <c r="H57">
        <f t="shared" si="0"/>
        <v>6.8799999999999972</v>
      </c>
      <c r="I57">
        <f t="shared" si="1"/>
        <v>-38.400000000000212</v>
      </c>
      <c r="J57">
        <f t="shared" si="2"/>
        <v>0.51618273821618421</v>
      </c>
    </row>
    <row r="59" spans="4:10" x14ac:dyDescent="0.15">
      <c r="D59">
        <v>1.72</v>
      </c>
      <c r="E59">
        <v>2.3519999999999999</v>
      </c>
      <c r="F59">
        <v>22935.552142</v>
      </c>
      <c r="H59">
        <f t="shared" si="0"/>
        <v>0</v>
      </c>
      <c r="I59">
        <f t="shared" si="1"/>
        <v>48.000000000000043</v>
      </c>
      <c r="J59">
        <f t="shared" si="2"/>
        <v>0.19516309797152431</v>
      </c>
    </row>
    <row r="60" spans="4:10" x14ac:dyDescent="0.15">
      <c r="D60">
        <v>1.72</v>
      </c>
      <c r="E60">
        <v>2.3616000000000001</v>
      </c>
      <c r="F60">
        <v>22879.807392899998</v>
      </c>
      <c r="H60">
        <f t="shared" si="0"/>
        <v>0</v>
      </c>
      <c r="I60">
        <f t="shared" si="1"/>
        <v>38.399999999999764</v>
      </c>
      <c r="J60">
        <f t="shared" si="2"/>
        <v>0.15768280410968682</v>
      </c>
    </row>
    <row r="61" spans="4:10" x14ac:dyDescent="0.15">
      <c r="D61">
        <v>1.72</v>
      </c>
      <c r="E61">
        <v>2.3712</v>
      </c>
      <c r="F61">
        <v>22896.427598800001</v>
      </c>
      <c r="H61">
        <f t="shared" si="0"/>
        <v>0</v>
      </c>
      <c r="I61">
        <f t="shared" si="1"/>
        <v>28.799999999999937</v>
      </c>
      <c r="J61">
        <f t="shared" si="2"/>
        <v>0.16885749251054133</v>
      </c>
    </row>
    <row r="62" spans="4:10" x14ac:dyDescent="0.15">
      <c r="D62">
        <v>1.72</v>
      </c>
      <c r="E62">
        <v>2.3807999999999998</v>
      </c>
      <c r="F62">
        <v>22902.300271399999</v>
      </c>
      <c r="H62">
        <f t="shared" si="0"/>
        <v>0</v>
      </c>
      <c r="I62">
        <f t="shared" si="1"/>
        <v>19.200000000000106</v>
      </c>
      <c r="J62">
        <f t="shared" si="2"/>
        <v>0.17280601678154395</v>
      </c>
    </row>
    <row r="63" spans="4:10" x14ac:dyDescent="0.15">
      <c r="D63">
        <v>1.72</v>
      </c>
      <c r="E63">
        <v>2.3904000000000001</v>
      </c>
      <c r="F63">
        <v>22929.831053900001</v>
      </c>
      <c r="H63">
        <f t="shared" si="0"/>
        <v>0</v>
      </c>
      <c r="I63">
        <f t="shared" si="1"/>
        <v>9.5999999999998309</v>
      </c>
      <c r="J63">
        <f t="shared" si="2"/>
        <v>0.1913164923869739</v>
      </c>
    </row>
    <row r="64" spans="4:10" x14ac:dyDescent="0.15">
      <c r="D64">
        <v>1.72</v>
      </c>
      <c r="E64">
        <v>2.4</v>
      </c>
      <c r="F64">
        <v>22982.093092899999</v>
      </c>
      <c r="H64">
        <f t="shared" si="0"/>
        <v>0</v>
      </c>
      <c r="I64">
        <f t="shared" si="1"/>
        <v>0</v>
      </c>
      <c r="J64">
        <f t="shared" si="2"/>
        <v>0.22645516663277193</v>
      </c>
    </row>
    <row r="65" spans="4:10" x14ac:dyDescent="0.15">
      <c r="D65">
        <v>1.72</v>
      </c>
      <c r="E65">
        <v>2.4096000000000002</v>
      </c>
      <c r="F65">
        <v>23057.700253200001</v>
      </c>
      <c r="H65">
        <f t="shared" si="0"/>
        <v>0</v>
      </c>
      <c r="I65">
        <f t="shared" si="1"/>
        <v>-9.600000000000275</v>
      </c>
      <c r="J65">
        <f t="shared" si="2"/>
        <v>0.27729006376397131</v>
      </c>
    </row>
    <row r="66" spans="4:10" x14ac:dyDescent="0.15">
      <c r="D66">
        <v>1.72</v>
      </c>
      <c r="E66">
        <v>2.4192</v>
      </c>
      <c r="F66">
        <v>23114.945785200001</v>
      </c>
      <c r="H66">
        <f t="shared" si="0"/>
        <v>0</v>
      </c>
      <c r="I66">
        <f t="shared" si="1"/>
        <v>-19.200000000000106</v>
      </c>
      <c r="J66">
        <f t="shared" si="2"/>
        <v>0.31577941740314969</v>
      </c>
    </row>
    <row r="67" spans="4:10" x14ac:dyDescent="0.15">
      <c r="D67">
        <v>1.72</v>
      </c>
      <c r="E67">
        <v>2.4287999999999998</v>
      </c>
      <c r="F67">
        <v>23196.7057513</v>
      </c>
      <c r="H67">
        <f t="shared" si="0"/>
        <v>0</v>
      </c>
      <c r="I67">
        <f t="shared" si="1"/>
        <v>-28.799999999999937</v>
      </c>
      <c r="J67">
        <f t="shared" si="2"/>
        <v>0.37075118792927636</v>
      </c>
    </row>
    <row r="68" spans="4:10" x14ac:dyDescent="0.15">
      <c r="D68">
        <v>1.72</v>
      </c>
      <c r="E68">
        <v>2.4384000000000001</v>
      </c>
      <c r="F68">
        <v>23325.778932699999</v>
      </c>
      <c r="H68">
        <f t="shared" si="0"/>
        <v>0</v>
      </c>
      <c r="I68">
        <f t="shared" si="1"/>
        <v>-38.400000000000212</v>
      </c>
      <c r="J68">
        <f t="shared" si="2"/>
        <v>0.45753426340560038</v>
      </c>
    </row>
    <row r="70" spans="4:10" x14ac:dyDescent="0.15">
      <c r="D70">
        <v>1.72688</v>
      </c>
      <c r="E70">
        <v>2.3519999999999999</v>
      </c>
      <c r="F70">
        <v>22880.057731699999</v>
      </c>
      <c r="H70">
        <f t="shared" ref="H69:H112" si="3">-(D70-1.72)*1000</f>
        <v>-6.8799999999999972</v>
      </c>
      <c r="I70">
        <f t="shared" ref="I69:I112" si="4">-(E70-2.4)*1000</f>
        <v>48.000000000000043</v>
      </c>
      <c r="J70">
        <f t="shared" ref="J69:J112" si="5">(F70-$A$10)/$A$12</f>
        <v>0.15785112080212013</v>
      </c>
    </row>
    <row r="71" spans="4:10" x14ac:dyDescent="0.15">
      <c r="D71">
        <v>1.72688</v>
      </c>
      <c r="E71">
        <v>2.3616000000000001</v>
      </c>
      <c r="F71">
        <v>22819.623751899999</v>
      </c>
      <c r="H71">
        <f t="shared" si="3"/>
        <v>-6.8799999999999972</v>
      </c>
      <c r="I71">
        <f t="shared" si="4"/>
        <v>38.399999999999764</v>
      </c>
      <c r="J71">
        <f t="shared" si="5"/>
        <v>0.11721799645024696</v>
      </c>
    </row>
    <row r="72" spans="4:10" x14ac:dyDescent="0.15">
      <c r="D72">
        <v>1.72688</v>
      </c>
      <c r="E72">
        <v>2.3712</v>
      </c>
      <c r="F72">
        <v>22798.720125100001</v>
      </c>
      <c r="H72">
        <f t="shared" si="3"/>
        <v>-6.8799999999999972</v>
      </c>
      <c r="I72">
        <f t="shared" si="4"/>
        <v>28.799999999999937</v>
      </c>
      <c r="J72">
        <f t="shared" si="5"/>
        <v>0.10316332604825776</v>
      </c>
    </row>
    <row r="73" spans="4:10" x14ac:dyDescent="0.15">
      <c r="D73">
        <v>1.72688</v>
      </c>
      <c r="E73">
        <v>2.3807999999999998</v>
      </c>
      <c r="F73">
        <v>22806.9957636</v>
      </c>
      <c r="H73">
        <f t="shared" si="3"/>
        <v>-6.8799999999999972</v>
      </c>
      <c r="I73">
        <f t="shared" si="4"/>
        <v>19.200000000000106</v>
      </c>
      <c r="J73">
        <f t="shared" si="5"/>
        <v>0.10872749788295169</v>
      </c>
    </row>
    <row r="74" spans="4:10" x14ac:dyDescent="0.15">
      <c r="D74">
        <v>1.72688</v>
      </c>
      <c r="E74">
        <v>2.3904000000000001</v>
      </c>
      <c r="F74">
        <v>22827.0053969</v>
      </c>
      <c r="H74">
        <f t="shared" si="3"/>
        <v>-6.8799999999999972</v>
      </c>
      <c r="I74">
        <f t="shared" si="4"/>
        <v>9.5999999999998309</v>
      </c>
      <c r="J74">
        <f t="shared" si="5"/>
        <v>0.12218108675472555</v>
      </c>
    </row>
    <row r="75" spans="4:10" x14ac:dyDescent="0.15">
      <c r="D75">
        <v>1.72688</v>
      </c>
      <c r="E75">
        <v>2.4</v>
      </c>
      <c r="F75">
        <v>22849.597006600001</v>
      </c>
      <c r="H75">
        <f t="shared" si="3"/>
        <v>-6.8799999999999972</v>
      </c>
      <c r="I75">
        <f t="shared" si="4"/>
        <v>0</v>
      </c>
      <c r="J75">
        <f t="shared" si="5"/>
        <v>0.13737068190114873</v>
      </c>
    </row>
    <row r="76" spans="4:10" x14ac:dyDescent="0.15">
      <c r="D76">
        <v>1.72688</v>
      </c>
      <c r="E76">
        <v>2.4096000000000002</v>
      </c>
      <c r="F76">
        <v>22901.746380199998</v>
      </c>
      <c r="H76">
        <f t="shared" si="3"/>
        <v>-6.8799999999999972</v>
      </c>
      <c r="I76">
        <f t="shared" si="4"/>
        <v>-9.600000000000275</v>
      </c>
      <c r="J76">
        <f t="shared" si="5"/>
        <v>0.17243360493507059</v>
      </c>
    </row>
    <row r="77" spans="4:10" x14ac:dyDescent="0.15">
      <c r="D77">
        <v>1.72688</v>
      </c>
      <c r="E77">
        <v>2.4192</v>
      </c>
      <c r="F77">
        <v>22958.0035178</v>
      </c>
      <c r="H77">
        <f t="shared" si="3"/>
        <v>-6.8799999999999972</v>
      </c>
      <c r="I77">
        <f t="shared" si="4"/>
        <v>-19.200000000000106</v>
      </c>
      <c r="J77">
        <f t="shared" si="5"/>
        <v>0.21025840607089277</v>
      </c>
    </row>
    <row r="78" spans="4:10" x14ac:dyDescent="0.15">
      <c r="D78">
        <v>1.72688</v>
      </c>
      <c r="E78">
        <v>2.4287999999999998</v>
      </c>
      <c r="F78">
        <v>23043.862617999999</v>
      </c>
      <c r="H78">
        <f t="shared" si="3"/>
        <v>-6.8799999999999972</v>
      </c>
      <c r="I78">
        <f t="shared" si="4"/>
        <v>-28.799999999999937</v>
      </c>
      <c r="J78">
        <f t="shared" si="5"/>
        <v>0.26798625233738188</v>
      </c>
    </row>
    <row r="79" spans="4:10" x14ac:dyDescent="0.15">
      <c r="D79">
        <v>1.72688</v>
      </c>
      <c r="E79">
        <v>2.4384000000000001</v>
      </c>
      <c r="F79">
        <v>23142.190560800002</v>
      </c>
      <c r="H79">
        <f t="shared" si="3"/>
        <v>-6.8799999999999972</v>
      </c>
      <c r="I79">
        <f t="shared" si="4"/>
        <v>-38.400000000000212</v>
      </c>
      <c r="J79">
        <f t="shared" si="5"/>
        <v>0.33409759466960343</v>
      </c>
    </row>
    <row r="81" spans="4:10" x14ac:dyDescent="0.15">
      <c r="D81">
        <v>1.73376</v>
      </c>
      <c r="E81">
        <v>2.3519999999999999</v>
      </c>
      <c r="F81">
        <v>22838.771148200001</v>
      </c>
      <c r="H81">
        <f t="shared" si="3"/>
        <v>-13.759999999999994</v>
      </c>
      <c r="I81">
        <f t="shared" si="4"/>
        <v>48.000000000000043</v>
      </c>
      <c r="J81">
        <f t="shared" si="5"/>
        <v>0.13009185545220864</v>
      </c>
    </row>
    <row r="82" spans="4:10" x14ac:dyDescent="0.15">
      <c r="D82">
        <v>1.73376</v>
      </c>
      <c r="E82">
        <v>2.3616000000000001</v>
      </c>
      <c r="F82">
        <v>22771.790588899999</v>
      </c>
      <c r="H82">
        <f t="shared" si="3"/>
        <v>-13.759999999999994</v>
      </c>
      <c r="I82">
        <f t="shared" si="4"/>
        <v>38.399999999999764</v>
      </c>
      <c r="J82">
        <f t="shared" si="5"/>
        <v>8.5057101755663417E-2</v>
      </c>
    </row>
    <row r="83" spans="4:10" x14ac:dyDescent="0.15">
      <c r="D83">
        <v>1.73376</v>
      </c>
      <c r="E83">
        <v>2.3712</v>
      </c>
      <c r="F83">
        <v>22761.798243699999</v>
      </c>
      <c r="H83">
        <f t="shared" si="3"/>
        <v>-13.759999999999994</v>
      </c>
      <c r="I83">
        <f t="shared" si="4"/>
        <v>28.799999999999937</v>
      </c>
      <c r="J83">
        <f t="shared" si="5"/>
        <v>7.8338692568942048E-2</v>
      </c>
    </row>
    <row r="84" spans="4:10" x14ac:dyDescent="0.15">
      <c r="D84">
        <v>1.73376</v>
      </c>
      <c r="E84">
        <v>2.3807999999999998</v>
      </c>
      <c r="F84">
        <v>22755.062670399999</v>
      </c>
      <c r="H84">
        <f t="shared" si="3"/>
        <v>-13.759999999999994</v>
      </c>
      <c r="I84">
        <f t="shared" si="4"/>
        <v>19.200000000000106</v>
      </c>
      <c r="J84">
        <f t="shared" si="5"/>
        <v>7.380999218571703E-2</v>
      </c>
    </row>
    <row r="85" spans="4:10" x14ac:dyDescent="0.15">
      <c r="D85">
        <v>1.73376</v>
      </c>
      <c r="E85">
        <v>2.3904000000000001</v>
      </c>
      <c r="F85">
        <v>22775.251696399999</v>
      </c>
      <c r="H85">
        <f t="shared" si="3"/>
        <v>-13.759999999999994</v>
      </c>
      <c r="I85">
        <f t="shared" si="4"/>
        <v>9.5999999999998309</v>
      </c>
      <c r="J85">
        <f t="shared" si="5"/>
        <v>8.7384196742756645E-2</v>
      </c>
    </row>
    <row r="86" spans="4:10" x14ac:dyDescent="0.15">
      <c r="D86">
        <v>1.73376</v>
      </c>
      <c r="E86">
        <v>2.4</v>
      </c>
      <c r="F86">
        <v>22782.920696900001</v>
      </c>
      <c r="H86">
        <f t="shared" si="3"/>
        <v>-13.759999999999994</v>
      </c>
      <c r="I86">
        <f t="shared" si="4"/>
        <v>0</v>
      </c>
      <c r="J86">
        <f t="shared" si="5"/>
        <v>9.2540492124963999E-2</v>
      </c>
    </row>
    <row r="87" spans="4:10" x14ac:dyDescent="0.15">
      <c r="D87">
        <v>1.73376</v>
      </c>
      <c r="E87">
        <v>2.4096000000000002</v>
      </c>
      <c r="F87">
        <v>22844.301509100002</v>
      </c>
      <c r="H87">
        <f t="shared" si="3"/>
        <v>-13.759999999999994</v>
      </c>
      <c r="I87">
        <f t="shared" si="4"/>
        <v>-9.600000000000275</v>
      </c>
      <c r="J87">
        <f t="shared" si="5"/>
        <v>0.13381022453702018</v>
      </c>
    </row>
    <row r="88" spans="4:10" x14ac:dyDescent="0.15">
      <c r="D88">
        <v>1.73376</v>
      </c>
      <c r="E88">
        <v>2.4192</v>
      </c>
      <c r="F88">
        <v>22885.878409000001</v>
      </c>
      <c r="H88">
        <f t="shared" si="3"/>
        <v>-13.759999999999994</v>
      </c>
      <c r="I88">
        <f t="shared" si="4"/>
        <v>-19.200000000000106</v>
      </c>
      <c r="J88">
        <f t="shared" si="5"/>
        <v>0.16176468574233785</v>
      </c>
    </row>
    <row r="89" spans="4:10" x14ac:dyDescent="0.15">
      <c r="D89">
        <v>1.73376</v>
      </c>
      <c r="E89">
        <v>2.4287999999999998</v>
      </c>
      <c r="F89">
        <v>22978.2082845</v>
      </c>
      <c r="H89">
        <f t="shared" si="3"/>
        <v>-13.759999999999994</v>
      </c>
      <c r="I89">
        <f t="shared" si="4"/>
        <v>-28.799999999999937</v>
      </c>
      <c r="J89">
        <f t="shared" si="5"/>
        <v>0.22384319397562233</v>
      </c>
    </row>
    <row r="90" spans="4:10" x14ac:dyDescent="0.15">
      <c r="D90">
        <v>1.73376</v>
      </c>
      <c r="E90">
        <v>2.4384000000000001</v>
      </c>
      <c r="F90">
        <v>23027.921581300001</v>
      </c>
      <c r="H90">
        <f t="shared" si="3"/>
        <v>-13.759999999999994</v>
      </c>
      <c r="I90">
        <f t="shared" si="4"/>
        <v>-38.400000000000212</v>
      </c>
      <c r="J90">
        <f t="shared" si="5"/>
        <v>0.25726820714703685</v>
      </c>
    </row>
    <row r="92" spans="4:10" x14ac:dyDescent="0.15">
      <c r="D92">
        <v>1.74064</v>
      </c>
      <c r="E92">
        <v>2.3519999999999999</v>
      </c>
      <c r="F92">
        <v>22808.263755799999</v>
      </c>
      <c r="H92">
        <f t="shared" si="3"/>
        <v>-20.639999999999993</v>
      </c>
      <c r="I92">
        <f t="shared" si="4"/>
        <v>48.000000000000043</v>
      </c>
      <c r="J92">
        <f t="shared" si="5"/>
        <v>0.10958003953104878</v>
      </c>
    </row>
    <row r="93" spans="4:10" x14ac:dyDescent="0.15">
      <c r="D93">
        <v>1.74064</v>
      </c>
      <c r="E93">
        <v>2.3616000000000001</v>
      </c>
      <c r="F93">
        <v>22739.455797899998</v>
      </c>
      <c r="H93">
        <f t="shared" si="3"/>
        <v>-20.639999999999993</v>
      </c>
      <c r="I93">
        <f t="shared" si="4"/>
        <v>38.399999999999764</v>
      </c>
      <c r="J93">
        <f t="shared" si="5"/>
        <v>6.3316624164365121E-2</v>
      </c>
    </row>
    <row r="94" spans="4:10" x14ac:dyDescent="0.15">
      <c r="D94">
        <v>1.74064</v>
      </c>
      <c r="E94">
        <v>2.3712</v>
      </c>
      <c r="F94">
        <v>22713.553193</v>
      </c>
      <c r="H94">
        <f t="shared" si="3"/>
        <v>-20.639999999999993</v>
      </c>
      <c r="I94">
        <f t="shared" si="4"/>
        <v>28.799999999999937</v>
      </c>
      <c r="J94">
        <f t="shared" si="5"/>
        <v>4.5900862875397699E-2</v>
      </c>
    </row>
    <row r="95" spans="4:10" x14ac:dyDescent="0.15">
      <c r="D95">
        <v>1.74064</v>
      </c>
      <c r="E95">
        <v>2.3807999999999998</v>
      </c>
      <c r="F95">
        <v>22688.6106626</v>
      </c>
      <c r="H95">
        <f t="shared" si="3"/>
        <v>-20.639999999999993</v>
      </c>
      <c r="I95">
        <f t="shared" si="4"/>
        <v>19.200000000000106</v>
      </c>
      <c r="J95">
        <f t="shared" si="5"/>
        <v>2.9130613046615742E-2</v>
      </c>
    </row>
    <row r="96" spans="4:10" x14ac:dyDescent="0.15">
      <c r="D96">
        <v>1.74064</v>
      </c>
      <c r="E96">
        <v>2.3904000000000001</v>
      </c>
      <c r="F96">
        <v>22694.455987199999</v>
      </c>
      <c r="H96">
        <f t="shared" si="3"/>
        <v>-20.639999999999993</v>
      </c>
      <c r="I96">
        <f t="shared" si="4"/>
        <v>9.5999999999998309</v>
      </c>
      <c r="J96">
        <f t="shared" si="5"/>
        <v>3.3060749736849443E-2</v>
      </c>
    </row>
    <row r="97" spans="4:10" x14ac:dyDescent="0.15">
      <c r="D97">
        <v>1.74064</v>
      </c>
      <c r="E97">
        <v>2.4</v>
      </c>
      <c r="F97">
        <v>22709.352564500001</v>
      </c>
      <c r="H97">
        <f t="shared" si="3"/>
        <v>-20.639999999999993</v>
      </c>
      <c r="I97">
        <f t="shared" si="4"/>
        <v>0</v>
      </c>
      <c r="J97">
        <f t="shared" si="5"/>
        <v>4.3076546807494523E-2</v>
      </c>
    </row>
    <row r="98" spans="4:10" x14ac:dyDescent="0.15">
      <c r="D98">
        <v>1.74064</v>
      </c>
      <c r="E98">
        <v>2.4096000000000002</v>
      </c>
      <c r="F98">
        <v>22776.951669499998</v>
      </c>
      <c r="H98">
        <f t="shared" si="3"/>
        <v>-20.639999999999993</v>
      </c>
      <c r="I98">
        <f t="shared" si="4"/>
        <v>-9.600000000000275</v>
      </c>
      <c r="J98">
        <f t="shared" si="5"/>
        <v>8.8527183165224954E-2</v>
      </c>
    </row>
    <row r="99" spans="4:10" x14ac:dyDescent="0.15">
      <c r="D99">
        <v>1.74064</v>
      </c>
      <c r="E99">
        <v>2.4192</v>
      </c>
      <c r="F99">
        <v>22831.833609000001</v>
      </c>
      <c r="H99">
        <f t="shared" si="3"/>
        <v>-20.639999999999993</v>
      </c>
      <c r="I99">
        <f t="shared" si="4"/>
        <v>-19.200000000000106</v>
      </c>
      <c r="J99">
        <f t="shared" si="5"/>
        <v>0.1254273621664363</v>
      </c>
    </row>
    <row r="100" spans="4:10" x14ac:dyDescent="0.15">
      <c r="D100">
        <v>1.74064</v>
      </c>
      <c r="E100">
        <v>2.4287999999999998</v>
      </c>
      <c r="F100">
        <v>22913.39889</v>
      </c>
      <c r="H100">
        <f t="shared" si="3"/>
        <v>-20.639999999999993</v>
      </c>
      <c r="I100">
        <f t="shared" si="4"/>
        <v>-28.799999999999937</v>
      </c>
      <c r="J100">
        <f t="shared" si="5"/>
        <v>0.18026823507662054</v>
      </c>
    </row>
    <row r="101" spans="4:10" x14ac:dyDescent="0.15">
      <c r="D101">
        <v>1.74064</v>
      </c>
      <c r="E101">
        <v>2.4384000000000001</v>
      </c>
      <c r="F101">
        <v>22994.617939799999</v>
      </c>
      <c r="H101">
        <f t="shared" si="3"/>
        <v>-20.639999999999993</v>
      </c>
      <c r="I101">
        <f t="shared" si="4"/>
        <v>-38.400000000000212</v>
      </c>
      <c r="J101">
        <f t="shared" si="5"/>
        <v>0.2348763175028635</v>
      </c>
    </row>
    <row r="103" spans="4:10" x14ac:dyDescent="0.15">
      <c r="D103">
        <v>1.74752</v>
      </c>
      <c r="E103">
        <v>2.3519999999999999</v>
      </c>
      <c r="F103">
        <v>22749.691135599998</v>
      </c>
      <c r="H103">
        <f t="shared" si="3"/>
        <v>-27.519999999999989</v>
      </c>
      <c r="I103">
        <f t="shared" si="4"/>
        <v>48.000000000000043</v>
      </c>
      <c r="J103">
        <f t="shared" si="5"/>
        <v>7.0198410717623241E-2</v>
      </c>
    </row>
    <row r="104" spans="4:10" x14ac:dyDescent="0.15">
      <c r="D104">
        <v>1.74752</v>
      </c>
      <c r="E104">
        <v>2.3616000000000001</v>
      </c>
      <c r="F104">
        <v>22697.449770899999</v>
      </c>
      <c r="H104">
        <f t="shared" si="3"/>
        <v>-27.519999999999989</v>
      </c>
      <c r="I104">
        <f t="shared" si="4"/>
        <v>38.399999999999764</v>
      </c>
      <c r="J104">
        <f t="shared" si="5"/>
        <v>3.5073636953069177E-2</v>
      </c>
    </row>
    <row r="105" spans="4:10" x14ac:dyDescent="0.15">
      <c r="D105">
        <v>1.74752</v>
      </c>
      <c r="E105">
        <v>2.3712</v>
      </c>
      <c r="F105">
        <v>22664.871406999999</v>
      </c>
      <c r="H105">
        <f t="shared" si="3"/>
        <v>-27.519999999999989</v>
      </c>
      <c r="I105">
        <f t="shared" si="4"/>
        <v>28.799999999999937</v>
      </c>
      <c r="J105">
        <f t="shared" si="5"/>
        <v>1.3169391760048168E-2</v>
      </c>
    </row>
    <row r="106" spans="4:10" x14ac:dyDescent="0.15">
      <c r="D106">
        <v>1.74752</v>
      </c>
      <c r="E106">
        <v>2.3807999999999998</v>
      </c>
      <c r="F106">
        <v>22645.711119399999</v>
      </c>
      <c r="H106">
        <f t="shared" si="3"/>
        <v>-27.519999999999989</v>
      </c>
      <c r="I106">
        <f t="shared" si="4"/>
        <v>19.200000000000106</v>
      </c>
      <c r="J106">
        <f t="shared" si="5"/>
        <v>2.8686522042680715E-4</v>
      </c>
    </row>
    <row r="107" spans="4:10" x14ac:dyDescent="0.15">
      <c r="D107">
        <v>1.74752</v>
      </c>
      <c r="E107">
        <v>2.3904000000000001</v>
      </c>
      <c r="F107">
        <v>22645.284462399999</v>
      </c>
      <c r="H107">
        <f t="shared" si="3"/>
        <v>-27.519999999999989</v>
      </c>
      <c r="I107">
        <f t="shared" si="4"/>
        <v>9.5999999999998309</v>
      </c>
      <c r="J107">
        <f t="shared" si="5"/>
        <v>0</v>
      </c>
    </row>
    <row r="108" spans="4:10" x14ac:dyDescent="0.15">
      <c r="D108">
        <v>1.74752</v>
      </c>
      <c r="E108">
        <v>2.4</v>
      </c>
      <c r="F108">
        <v>22683.9551861</v>
      </c>
      <c r="H108">
        <f t="shared" si="3"/>
        <v>-27.519999999999989</v>
      </c>
      <c r="I108">
        <f t="shared" si="4"/>
        <v>0</v>
      </c>
      <c r="J108">
        <f t="shared" si="5"/>
        <v>2.600047738175049E-2</v>
      </c>
    </row>
    <row r="109" spans="4:10" x14ac:dyDescent="0.15">
      <c r="D109">
        <v>1.74752</v>
      </c>
      <c r="E109">
        <v>2.4096000000000002</v>
      </c>
      <c r="F109">
        <v>22724.693153600001</v>
      </c>
      <c r="H109">
        <f t="shared" si="3"/>
        <v>-27.519999999999989</v>
      </c>
      <c r="I109">
        <f t="shared" si="4"/>
        <v>-9.600000000000275</v>
      </c>
      <c r="J109">
        <f t="shared" si="5"/>
        <v>5.339087769541824E-2</v>
      </c>
    </row>
    <row r="110" spans="4:10" x14ac:dyDescent="0.15">
      <c r="D110">
        <v>1.74752</v>
      </c>
      <c r="E110">
        <v>2.4192</v>
      </c>
      <c r="F110">
        <v>22778.210461300001</v>
      </c>
      <c r="H110">
        <f t="shared" si="3"/>
        <v>-27.519999999999989</v>
      </c>
      <c r="I110">
        <f t="shared" si="4"/>
        <v>-19.200000000000106</v>
      </c>
      <c r="J110">
        <f t="shared" si="5"/>
        <v>8.9373538872922806E-2</v>
      </c>
    </row>
    <row r="111" spans="4:10" x14ac:dyDescent="0.15">
      <c r="D111">
        <v>1.74752</v>
      </c>
      <c r="E111">
        <v>2.4287999999999998</v>
      </c>
      <c r="F111">
        <v>22834.063072500001</v>
      </c>
      <c r="H111">
        <f t="shared" si="3"/>
        <v>-27.519999999999989</v>
      </c>
      <c r="I111">
        <f t="shared" si="4"/>
        <v>-28.799999999999937</v>
      </c>
      <c r="J111">
        <f t="shared" si="5"/>
        <v>0.12692635442101316</v>
      </c>
    </row>
    <row r="112" spans="4:10" x14ac:dyDescent="0.15">
      <c r="D112">
        <v>1.74752</v>
      </c>
      <c r="E112">
        <v>2.4384000000000001</v>
      </c>
      <c r="F112">
        <v>22930.493707099999</v>
      </c>
      <c r="H112">
        <f t="shared" si="3"/>
        <v>-27.519999999999989</v>
      </c>
      <c r="I112">
        <f t="shared" si="4"/>
        <v>-38.400000000000212</v>
      </c>
      <c r="J112">
        <f t="shared" si="5"/>
        <v>0.19176203097249753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</dc:creator>
  <cp:lastModifiedBy>hirano</cp:lastModifiedBy>
  <dcterms:created xsi:type="dcterms:W3CDTF">2018-12-12T04:34:54Z</dcterms:created>
  <dcterms:modified xsi:type="dcterms:W3CDTF">2018-12-12T04:41:07Z</dcterms:modified>
</cp:coreProperties>
</file>